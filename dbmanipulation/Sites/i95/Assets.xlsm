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70" windowWidth="20115" windowHeight="7875" activeTab="8"/>
  </bookViews>
  <sheets>
    <sheet name="Signs" sheetId="1" r:id="rId1"/>
    <sheet name="Bridges" sheetId="4" r:id="rId2"/>
    <sheet name="MM-1" sheetId="5" r:id="rId3"/>
    <sheet name="MM-2S" sheetId="6" r:id="rId4"/>
    <sheet name="MM-2N" sheetId="7" r:id="rId5"/>
    <sheet name="MM-3S" sheetId="8" r:id="rId6"/>
    <sheet name="MM-3N" sheetId="9" r:id="rId7"/>
    <sheet name="MM-4" sheetId="10" r:id="rId8"/>
    <sheet name="Static" sheetId="11" r:id="rId9"/>
    <sheet name="SEG01" sheetId="12" r:id="rId10"/>
    <sheet name="SEG02S" sheetId="13" r:id="rId11"/>
    <sheet name="SEG02N" sheetId="14" r:id="rId12"/>
    <sheet name="SEG03S" sheetId="15" r:id="rId13"/>
    <sheet name="SEG03N" sheetId="16" r:id="rId14"/>
    <sheet name="SEG04" sheetId="17" r:id="rId15"/>
  </sheets>
  <functionGroups builtInGroupCount="17"/>
  <definedNames>
    <definedName name="_xlnm._FilterDatabase" localSheetId="0" hidden="1">Signs!$A$3:$G$86</definedName>
  </definedNames>
  <calcPr calcId="145621"/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" i="4"/>
  <c r="A3" i="10" l="1"/>
  <c r="B3" i="10" s="1"/>
  <c r="B2" i="10"/>
  <c r="A3" i="9"/>
  <c r="B3" i="9" s="1"/>
  <c r="B2" i="9"/>
  <c r="A3" i="8"/>
  <c r="B3" i="8" s="1"/>
  <c r="B2" i="8"/>
  <c r="A3" i="7"/>
  <c r="B3" i="7" s="1"/>
  <c r="B2" i="7"/>
  <c r="C2" i="6"/>
  <c r="B2" i="6"/>
  <c r="B4" i="5"/>
  <c r="C3" i="5"/>
  <c r="D2" i="5"/>
  <c r="C2" i="5"/>
  <c r="C4" i="5" l="1"/>
  <c r="D3" i="5"/>
  <c r="C2" i="8"/>
  <c r="C2" i="9"/>
  <c r="A4" i="8"/>
  <c r="B4" i="8" s="1"/>
  <c r="C3" i="9"/>
  <c r="A4" i="9"/>
  <c r="B4" i="9" s="1"/>
  <c r="B3" i="6"/>
  <c r="C2" i="10"/>
  <c r="C4" i="6"/>
  <c r="C3" i="6"/>
  <c r="B4" i="6"/>
  <c r="B5" i="5"/>
  <c r="A5" i="8"/>
  <c r="A4" i="7"/>
  <c r="C3" i="7" s="1"/>
  <c r="C2" i="7"/>
  <c r="A5" i="9"/>
  <c r="A4" i="10"/>
  <c r="C3" i="10" s="1"/>
  <c r="C3" i="8" l="1"/>
  <c r="C5" i="5"/>
  <c r="B6" i="5"/>
  <c r="B5" i="9"/>
  <c r="A6" i="9"/>
  <c r="C4" i="9"/>
  <c r="B5" i="8"/>
  <c r="C4" i="8"/>
  <c r="A6" i="8"/>
  <c r="C5" i="8" s="1"/>
  <c r="A5" i="10"/>
  <c r="B4" i="10"/>
  <c r="A5" i="7"/>
  <c r="C4" i="7" s="1"/>
  <c r="B4" i="7"/>
  <c r="D4" i="5"/>
  <c r="C5" i="6"/>
  <c r="B5" i="6"/>
  <c r="D5" i="5" l="1"/>
  <c r="A6" i="10"/>
  <c r="C5" i="10" s="1"/>
  <c r="B5" i="10"/>
  <c r="B6" i="9"/>
  <c r="A7" i="9"/>
  <c r="A6" i="7"/>
  <c r="C5" i="7" s="1"/>
  <c r="B5" i="7"/>
  <c r="C4" i="10"/>
  <c r="B6" i="6"/>
  <c r="C6" i="6"/>
  <c r="B6" i="8"/>
  <c r="A7" i="8"/>
  <c r="C6" i="8" s="1"/>
  <c r="C5" i="9"/>
  <c r="C6" i="5"/>
  <c r="B7" i="5"/>
  <c r="D6" i="5" s="1"/>
  <c r="B7" i="9" l="1"/>
  <c r="A8" i="9"/>
  <c r="C7" i="9"/>
  <c r="B7" i="6"/>
  <c r="C7" i="6"/>
  <c r="A7" i="7"/>
  <c r="B6" i="7"/>
  <c r="C7" i="5"/>
  <c r="B8" i="5"/>
  <c r="A8" i="8"/>
  <c r="B7" i="8"/>
  <c r="C6" i="9"/>
  <c r="A7" i="10"/>
  <c r="C6" i="10" s="1"/>
  <c r="B6" i="10"/>
  <c r="D7" i="5" l="1"/>
  <c r="A9" i="8"/>
  <c r="B8" i="8"/>
  <c r="A8" i="7"/>
  <c r="B7" i="7"/>
  <c r="C7" i="8"/>
  <c r="C8" i="5"/>
  <c r="B9" i="5"/>
  <c r="C6" i="7"/>
  <c r="A8" i="10"/>
  <c r="B7" i="10"/>
  <c r="B8" i="6"/>
  <c r="B8" i="9"/>
  <c r="A9" i="9"/>
  <c r="C8" i="9"/>
  <c r="B9" i="6" l="1"/>
  <c r="C9" i="6"/>
  <c r="A9" i="10"/>
  <c r="B8" i="10"/>
  <c r="C9" i="5"/>
  <c r="B10" i="5"/>
  <c r="A9" i="7"/>
  <c r="B8" i="7"/>
  <c r="A10" i="8"/>
  <c r="B9" i="8"/>
  <c r="C8" i="6"/>
  <c r="C7" i="10"/>
  <c r="C7" i="7"/>
  <c r="B9" i="9"/>
  <c r="A10" i="9"/>
  <c r="C9" i="9" s="1"/>
  <c r="D8" i="5"/>
  <c r="C8" i="8"/>
  <c r="D9" i="5" l="1"/>
  <c r="A11" i="8"/>
  <c r="B10" i="8"/>
  <c r="B10" i="9"/>
  <c r="A11" i="9"/>
  <c r="C9" i="10"/>
  <c r="B9" i="10"/>
  <c r="C10" i="5"/>
  <c r="B11" i="5"/>
  <c r="D10" i="5" s="1"/>
  <c r="C8" i="10"/>
  <c r="A10" i="7"/>
  <c r="C9" i="7" s="1"/>
  <c r="B9" i="7"/>
  <c r="C9" i="8"/>
  <c r="C8" i="7"/>
  <c r="B10" i="6"/>
  <c r="C10" i="6"/>
  <c r="B11" i="9" l="1"/>
  <c r="A12" i="9"/>
  <c r="C11" i="9"/>
  <c r="A12" i="8"/>
  <c r="C11" i="8"/>
  <c r="B11" i="8"/>
  <c r="B11" i="6"/>
  <c r="A11" i="7"/>
  <c r="B10" i="7"/>
  <c r="C11" i="5"/>
  <c r="B12" i="5"/>
  <c r="D11" i="5" s="1"/>
  <c r="C10" i="9"/>
  <c r="C10" i="8"/>
  <c r="B12" i="6" l="1"/>
  <c r="C12" i="6"/>
  <c r="C11" i="6"/>
  <c r="A13" i="8"/>
  <c r="B12" i="8"/>
  <c r="A12" i="7"/>
  <c r="B11" i="7"/>
  <c r="C12" i="5"/>
  <c r="B13" i="5"/>
  <c r="D12" i="5" s="1"/>
  <c r="C10" i="7"/>
  <c r="B12" i="9"/>
  <c r="A13" i="9"/>
  <c r="C12" i="9"/>
  <c r="A13" i="7" l="1"/>
  <c r="C12" i="7" s="1"/>
  <c r="B12" i="7"/>
  <c r="A14" i="8"/>
  <c r="C13" i="8" s="1"/>
  <c r="B13" i="8"/>
  <c r="B13" i="9"/>
  <c r="A14" i="9"/>
  <c r="C13" i="9" s="1"/>
  <c r="C13" i="5"/>
  <c r="B14" i="5"/>
  <c r="D13" i="5" s="1"/>
  <c r="C11" i="7"/>
  <c r="C12" i="8"/>
  <c r="B13" i="6"/>
  <c r="C13" i="6"/>
  <c r="B14" i="6" l="1"/>
  <c r="C14" i="6"/>
  <c r="B14" i="9"/>
  <c r="A15" i="9"/>
  <c r="C14" i="9" s="1"/>
  <c r="A15" i="8"/>
  <c r="B14" i="8"/>
  <c r="C14" i="5"/>
  <c r="B15" i="5"/>
  <c r="D14" i="5" s="1"/>
  <c r="A14" i="7"/>
  <c r="B13" i="7"/>
  <c r="A16" i="8" l="1"/>
  <c r="B15" i="8"/>
  <c r="C14" i="8"/>
  <c r="C15" i="5"/>
  <c r="B16" i="5"/>
  <c r="D15" i="5" s="1"/>
  <c r="A15" i="7"/>
  <c r="B14" i="7"/>
  <c r="B15" i="6"/>
  <c r="C15" i="6"/>
  <c r="C13" i="7"/>
  <c r="B15" i="9"/>
  <c r="A16" i="9"/>
  <c r="C15" i="9" s="1"/>
  <c r="A16" i="7" l="1"/>
  <c r="C15" i="7" s="1"/>
  <c r="B15" i="7"/>
  <c r="A17" i="8"/>
  <c r="C16" i="8" s="1"/>
  <c r="B16" i="8"/>
  <c r="B16" i="9"/>
  <c r="A17" i="9"/>
  <c r="C16" i="9" s="1"/>
  <c r="B16" i="6"/>
  <c r="C16" i="6"/>
  <c r="C14" i="7"/>
  <c r="C16" i="5"/>
  <c r="B17" i="5"/>
  <c r="D16" i="5" s="1"/>
  <c r="C15" i="8"/>
  <c r="B17" i="9" l="1"/>
  <c r="A18" i="9"/>
  <c r="C17" i="9"/>
  <c r="A18" i="8"/>
  <c r="B17" i="8"/>
  <c r="C17" i="5"/>
  <c r="B18" i="5"/>
  <c r="B17" i="6"/>
  <c r="C17" i="6"/>
  <c r="A17" i="7"/>
  <c r="B16" i="7"/>
  <c r="L16" i="1"/>
  <c r="L5" i="1"/>
  <c r="L44" i="1"/>
  <c r="L66" i="1"/>
  <c r="L60" i="1"/>
  <c r="L65" i="1"/>
  <c r="L24" i="1"/>
  <c r="L20" i="1"/>
  <c r="L8" i="1"/>
  <c r="L83" i="1"/>
  <c r="L34" i="1"/>
  <c r="L51" i="1"/>
  <c r="L77" i="1"/>
  <c r="L76" i="1"/>
  <c r="L50" i="1"/>
  <c r="L37" i="1"/>
  <c r="L54" i="1"/>
  <c r="L72" i="1"/>
  <c r="L36" i="1"/>
  <c r="L4" i="1"/>
  <c r="L42" i="1"/>
  <c r="L29" i="1"/>
  <c r="L61" i="1"/>
  <c r="L12" i="1"/>
  <c r="L58" i="1"/>
  <c r="L30" i="1"/>
  <c r="L63" i="1"/>
  <c r="L84" i="1"/>
  <c r="L17" i="1"/>
  <c r="L56" i="1"/>
  <c r="L82" i="1"/>
  <c r="L70" i="1"/>
  <c r="L75" i="1"/>
  <c r="L28" i="1"/>
  <c r="L15" i="1"/>
  <c r="L57" i="1"/>
  <c r="L18" i="1"/>
  <c r="L27" i="1"/>
  <c r="L14" i="1"/>
  <c r="L19" i="1"/>
  <c r="L85" i="1"/>
  <c r="L79" i="1"/>
  <c r="L10" i="1"/>
  <c r="L26" i="1"/>
  <c r="L45" i="1"/>
  <c r="L35" i="1"/>
  <c r="L47" i="1"/>
  <c r="L73" i="1"/>
  <c r="L68" i="1"/>
  <c r="L21" i="1"/>
  <c r="L9" i="1"/>
  <c r="L11" i="1"/>
  <c r="L6" i="1"/>
  <c r="L80" i="1"/>
  <c r="L13" i="1"/>
  <c r="L62" i="1"/>
  <c r="L22" i="1"/>
  <c r="L25" i="1"/>
  <c r="L49" i="1"/>
  <c r="L53" i="1"/>
  <c r="L32" i="1"/>
  <c r="L38" i="1"/>
  <c r="L43" i="1"/>
  <c r="L55" i="1"/>
  <c r="L48" i="1"/>
  <c r="L86" i="1"/>
  <c r="L41" i="1"/>
  <c r="L52" i="1"/>
  <c r="L33" i="1"/>
  <c r="L64" i="1"/>
  <c r="L23" i="1"/>
  <c r="L81" i="1"/>
  <c r="L7" i="1"/>
  <c r="L71" i="1"/>
  <c r="L74" i="1"/>
  <c r="L31" i="1"/>
  <c r="L40" i="1"/>
  <c r="L59" i="1"/>
  <c r="L46" i="1"/>
  <c r="L69" i="1"/>
  <c r="L67" i="1"/>
  <c r="L39" i="1"/>
  <c r="L78" i="1"/>
  <c r="D76" i="1" l="1"/>
  <c r="D71" i="1"/>
  <c r="D65" i="1"/>
  <c r="D67" i="1"/>
  <c r="D59" i="1"/>
  <c r="D68" i="1"/>
  <c r="D81" i="1"/>
  <c r="D29" i="1"/>
  <c r="D38" i="1"/>
  <c r="D22" i="1"/>
  <c r="D80" i="1"/>
  <c r="D35" i="1"/>
  <c r="D85" i="1"/>
  <c r="D42" i="1"/>
  <c r="D75" i="1"/>
  <c r="D72" i="1"/>
  <c r="D77" i="1"/>
  <c r="D57" i="1"/>
  <c r="D60" i="1"/>
  <c r="D69" i="1"/>
  <c r="D40" i="1"/>
  <c r="D39" i="1"/>
  <c r="D23" i="1"/>
  <c r="D86" i="1"/>
  <c r="D32" i="1"/>
  <c r="D20" i="1"/>
  <c r="D6" i="1"/>
  <c r="D45" i="1"/>
  <c r="D19" i="1"/>
  <c r="D52" i="1"/>
  <c r="D70" i="1"/>
  <c r="D54" i="1"/>
  <c r="D51" i="1"/>
  <c r="D12" i="1"/>
  <c r="D66" i="1"/>
  <c r="D63" i="1"/>
  <c r="D58" i="1"/>
  <c r="D73" i="1"/>
  <c r="D64" i="1"/>
  <c r="D48" i="1"/>
  <c r="D53" i="1"/>
  <c r="D62" i="1"/>
  <c r="D11" i="1"/>
  <c r="D26" i="1"/>
  <c r="D14" i="1"/>
  <c r="D4" i="1"/>
  <c r="D82" i="1"/>
  <c r="D37" i="1"/>
  <c r="D34" i="1"/>
  <c r="D15" i="1"/>
  <c r="D44" i="1"/>
  <c r="D46" i="1"/>
  <c r="D31" i="1"/>
  <c r="D84" i="1"/>
  <c r="D33" i="1"/>
  <c r="D55" i="1"/>
  <c r="D49" i="1"/>
  <c r="D24" i="1"/>
  <c r="D9" i="1"/>
  <c r="D10" i="1"/>
  <c r="D27" i="1"/>
  <c r="D41" i="1"/>
  <c r="D56" i="1"/>
  <c r="D50" i="1"/>
  <c r="D83" i="1"/>
  <c r="D7" i="1"/>
  <c r="D5" i="1"/>
  <c r="D30" i="1"/>
  <c r="D74" i="1"/>
  <c r="D47" i="1"/>
  <c r="D61" i="1"/>
  <c r="D43" i="1"/>
  <c r="D25" i="1"/>
  <c r="D13" i="1"/>
  <c r="D21" i="1"/>
  <c r="D79" i="1"/>
  <c r="D18" i="1"/>
  <c r="D36" i="1"/>
  <c r="D17" i="1"/>
  <c r="D78" i="1"/>
  <c r="D8" i="1"/>
  <c r="D28" i="1"/>
  <c r="D16" i="1"/>
  <c r="C18" i="5"/>
  <c r="B19" i="5"/>
  <c r="D18" i="5"/>
  <c r="A19" i="8"/>
  <c r="C18" i="8"/>
  <c r="B18" i="8"/>
  <c r="B18" i="6"/>
  <c r="C18" i="6"/>
  <c r="A18" i="7"/>
  <c r="C17" i="7" s="1"/>
  <c r="B17" i="7"/>
  <c r="B18" i="9"/>
  <c r="A19" i="9"/>
  <c r="C16" i="7"/>
  <c r="D17" i="5"/>
  <c r="C17" i="8"/>
  <c r="B19" i="9" l="1"/>
  <c r="A20" i="9"/>
  <c r="C19" i="9"/>
  <c r="A20" i="8"/>
  <c r="B19" i="8"/>
  <c r="C18" i="9"/>
  <c r="C18" i="7"/>
  <c r="B18" i="7"/>
  <c r="C19" i="5"/>
  <c r="B20" i="5"/>
  <c r="D19" i="5" s="1"/>
  <c r="A21" i="8" l="1"/>
  <c r="B20" i="8"/>
  <c r="C20" i="5"/>
  <c r="B21" i="5"/>
  <c r="B20" i="9"/>
  <c r="A21" i="9"/>
  <c r="C20" i="9"/>
  <c r="C19" i="8"/>
  <c r="C21" i="5" l="1"/>
  <c r="B22" i="5"/>
  <c r="D21" i="5" s="1"/>
  <c r="A22" i="8"/>
  <c r="C21" i="8"/>
  <c r="B21" i="8"/>
  <c r="B21" i="9"/>
  <c r="A22" i="9"/>
  <c r="C21" i="9"/>
  <c r="D20" i="5"/>
  <c r="C20" i="8"/>
  <c r="B22" i="9" l="1"/>
  <c r="A23" i="9"/>
  <c r="C22" i="9"/>
  <c r="A23" i="8"/>
  <c r="C22" i="8"/>
  <c r="B22" i="8"/>
  <c r="C22" i="5"/>
  <c r="B23" i="5"/>
  <c r="D22" i="5"/>
  <c r="C23" i="5" l="1"/>
  <c r="B24" i="5"/>
  <c r="D23" i="5"/>
  <c r="A24" i="8"/>
  <c r="C23" i="8"/>
  <c r="B23" i="8"/>
  <c r="B23" i="9"/>
  <c r="A24" i="9"/>
  <c r="C23" i="9"/>
  <c r="B24" i="9" l="1"/>
  <c r="A25" i="9"/>
  <c r="C24" i="9"/>
  <c r="A25" i="8"/>
  <c r="C24" i="8"/>
  <c r="B24" i="8"/>
  <c r="C24" i="5"/>
  <c r="B25" i="5"/>
  <c r="D24" i="5" s="1"/>
  <c r="C25" i="5" l="1"/>
  <c r="B26" i="5"/>
  <c r="D25" i="5"/>
  <c r="A26" i="8"/>
  <c r="C25" i="8"/>
  <c r="B25" i="8"/>
  <c r="B25" i="9"/>
  <c r="A26" i="9"/>
  <c r="C25" i="9"/>
  <c r="B26" i="9" l="1"/>
  <c r="C26" i="9"/>
  <c r="A27" i="8"/>
  <c r="C26" i="8" s="1"/>
  <c r="B26" i="8"/>
  <c r="C26" i="5"/>
  <c r="B27" i="5"/>
  <c r="D26" i="5" s="1"/>
  <c r="C27" i="5" l="1"/>
  <c r="B28" i="5"/>
  <c r="D27" i="5" s="1"/>
  <c r="A28" i="8"/>
  <c r="C27" i="8" s="1"/>
  <c r="B27" i="8"/>
  <c r="A29" i="8" l="1"/>
  <c r="B28" i="8"/>
  <c r="C28" i="5"/>
  <c r="B29" i="5"/>
  <c r="D28" i="5" s="1"/>
  <c r="A30" i="8" l="1"/>
  <c r="B29" i="8"/>
  <c r="C29" i="5"/>
  <c r="B30" i="5"/>
  <c r="D29" i="5" s="1"/>
  <c r="C28" i="8"/>
  <c r="A31" i="8" l="1"/>
  <c r="B30" i="8"/>
  <c r="C30" i="5"/>
  <c r="B31" i="5"/>
  <c r="D30" i="5" s="1"/>
  <c r="C29" i="8"/>
  <c r="A32" i="8" l="1"/>
  <c r="B31" i="8"/>
  <c r="C31" i="5"/>
  <c r="B32" i="5"/>
  <c r="D31" i="5" s="1"/>
  <c r="C30" i="8"/>
  <c r="A33" i="8" l="1"/>
  <c r="B32" i="8"/>
  <c r="C32" i="5"/>
  <c r="B33" i="5"/>
  <c r="D32" i="5" s="1"/>
  <c r="C31" i="8"/>
  <c r="A34" i="8" l="1"/>
  <c r="C33" i="8" s="1"/>
  <c r="B33" i="8"/>
  <c r="C33" i="5"/>
  <c r="B34" i="5"/>
  <c r="D33" i="5" s="1"/>
  <c r="C32" i="8"/>
  <c r="C34" i="5" l="1"/>
  <c r="B35" i="5"/>
  <c r="C34" i="8"/>
  <c r="B34" i="8"/>
  <c r="C35" i="5" l="1"/>
  <c r="B36" i="5"/>
  <c r="D35" i="5" s="1"/>
  <c r="D34" i="5"/>
  <c r="C36" i="5" l="1"/>
  <c r="B37" i="5"/>
  <c r="D36" i="5" s="1"/>
  <c r="C37" i="5" l="1"/>
  <c r="B38" i="5"/>
  <c r="D37" i="5" s="1"/>
  <c r="C38" i="5" l="1"/>
  <c r="B39" i="5"/>
  <c r="D38" i="5" s="1"/>
  <c r="C39" i="5" l="1"/>
  <c r="B40" i="5"/>
  <c r="D39" i="5" s="1"/>
  <c r="C40" i="5" l="1"/>
  <c r="B41" i="5"/>
  <c r="D40" i="5" s="1"/>
  <c r="C41" i="5" l="1"/>
  <c r="B42" i="5"/>
  <c r="D41" i="5" s="1"/>
  <c r="C42" i="5" l="1"/>
  <c r="B43" i="5"/>
  <c r="C43" i="5" l="1"/>
  <c r="B44" i="5"/>
  <c r="D43" i="5" s="1"/>
  <c r="D42" i="5"/>
  <c r="C44" i="5" l="1"/>
  <c r="B45" i="5"/>
  <c r="C45" i="5" l="1"/>
  <c r="B46" i="5"/>
  <c r="D44" i="5"/>
  <c r="D45" i="5" l="1"/>
  <c r="D46" i="5"/>
  <c r="C46" i="5"/>
</calcChain>
</file>

<file path=xl/sharedStrings.xml><?xml version="1.0" encoding="utf-8"?>
<sst xmlns="http://schemas.openxmlformats.org/spreadsheetml/2006/main" count="1147" uniqueCount="476">
  <si>
    <t>Structure</t>
  </si>
  <si>
    <t>SignPanel</t>
  </si>
  <si>
    <t>VDOT</t>
  </si>
  <si>
    <t>N1-01C</t>
  </si>
  <si>
    <t>N1-01B</t>
  </si>
  <si>
    <t>N1-05</t>
  </si>
  <si>
    <t>N1-04</t>
  </si>
  <si>
    <t>N1-03</t>
  </si>
  <si>
    <t>N1-07</t>
  </si>
  <si>
    <t>S1-09</t>
  </si>
  <si>
    <t>N1-08</t>
  </si>
  <si>
    <t>S1-10</t>
  </si>
  <si>
    <t>S1-11</t>
  </si>
  <si>
    <t>S1-06</t>
  </si>
  <si>
    <t>S1-11A</t>
  </si>
  <si>
    <t>N1-15</t>
  </si>
  <si>
    <t>N1-14</t>
  </si>
  <si>
    <t>N1-13</t>
  </si>
  <si>
    <t>S1-16</t>
  </si>
  <si>
    <t>S1-16A</t>
  </si>
  <si>
    <t>S1-19</t>
  </si>
  <si>
    <t>N1-18</t>
  </si>
  <si>
    <t>S2-01</t>
  </si>
  <si>
    <t>S2-02</t>
  </si>
  <si>
    <t>N2-03</t>
  </si>
  <si>
    <t>N2-04</t>
  </si>
  <si>
    <t>E2-32</t>
  </si>
  <si>
    <t>E2-29A</t>
  </si>
  <si>
    <t>E2-29</t>
  </si>
  <si>
    <t>W2-27</t>
  </si>
  <si>
    <t>S2-06</t>
  </si>
  <si>
    <t>N2-18</t>
  </si>
  <si>
    <t>S2-17</t>
  </si>
  <si>
    <t>N2-16</t>
  </si>
  <si>
    <t>N2-15</t>
  </si>
  <si>
    <t>S2-13</t>
  </si>
  <si>
    <t>N2-12</t>
  </si>
  <si>
    <t>N2-11</t>
  </si>
  <si>
    <t>N2-10</t>
  </si>
  <si>
    <t>S2-09</t>
  </si>
  <si>
    <t>S2-08A</t>
  </si>
  <si>
    <t>S2-08</t>
  </si>
  <si>
    <t>S2-07</t>
  </si>
  <si>
    <t>S2-36</t>
  </si>
  <si>
    <t>S3-33</t>
  </si>
  <si>
    <t>S2-21</t>
  </si>
  <si>
    <t>S2-21A</t>
  </si>
  <si>
    <t>W2-28</t>
  </si>
  <si>
    <t>S3-34</t>
  </si>
  <si>
    <t>S3-35</t>
  </si>
  <si>
    <t>S3-38</t>
  </si>
  <si>
    <t>S3-37</t>
  </si>
  <si>
    <t>S3-39</t>
  </si>
  <si>
    <t>W3-44</t>
  </si>
  <si>
    <t>E3-40</t>
  </si>
  <si>
    <t>E3-43</t>
  </si>
  <si>
    <t>W3-47</t>
  </si>
  <si>
    <t>S3-49</t>
  </si>
  <si>
    <t>S3-53</t>
  </si>
  <si>
    <t>S3-52</t>
  </si>
  <si>
    <t>S3-57</t>
  </si>
  <si>
    <t>W3-55</t>
  </si>
  <si>
    <t>W3-56</t>
  </si>
  <si>
    <t>S3-58A</t>
  </si>
  <si>
    <t>S3-58</t>
  </si>
  <si>
    <t>S3-59</t>
  </si>
  <si>
    <t>S3-60</t>
  </si>
  <si>
    <t>N3-60B</t>
  </si>
  <si>
    <t>N3-60A</t>
  </si>
  <si>
    <t>N3-61</t>
  </si>
  <si>
    <t>N3-62</t>
  </si>
  <si>
    <t>N3-63</t>
  </si>
  <si>
    <t>N3-64</t>
  </si>
  <si>
    <t>N3-65</t>
  </si>
  <si>
    <t>N3-66</t>
  </si>
  <si>
    <t>S3-69</t>
  </si>
  <si>
    <t>N3-68</t>
  </si>
  <si>
    <t>N3-67</t>
  </si>
  <si>
    <t>N3-68B</t>
  </si>
  <si>
    <t>N3-70</t>
  </si>
  <si>
    <t>Mile Marker</t>
  </si>
  <si>
    <t>Structure carries DMS NB</t>
  </si>
  <si>
    <t>Structure carries DMS SB</t>
  </si>
  <si>
    <t>Structure has one NB sign no lumitrak</t>
  </si>
  <si>
    <t>Structure has one SB sign with lumitrak</t>
  </si>
  <si>
    <t>Structure has two SB signs with lumitrak</t>
  </si>
  <si>
    <t>Structure has one SB sign no lumitrak</t>
  </si>
  <si>
    <t>Structure carries an express lanes DMS NB &amp; a VDOT Sign no lumitrak</t>
  </si>
  <si>
    <t>Structure carries a DMS SB no lumitrak</t>
  </si>
  <si>
    <t>Structure carries an express lanes DMS NB &amp; a VDOT Sign with lumitrak</t>
  </si>
  <si>
    <t>Structure has one NB sign with lumitrak</t>
  </si>
  <si>
    <t>Structure carries a VDOT DMS NB &amp; express lanes sign with lumitrak</t>
  </si>
  <si>
    <t>Structure carries an express lanes DMS NB no lumitrak</t>
  </si>
  <si>
    <t>Structure carries an express lanes  DMS NB &amp; a VDOT sign with lumitrak</t>
  </si>
  <si>
    <t>Structure carries two SB signs with lumitrak</t>
  </si>
  <si>
    <t>Structure carries three SB signs two with lumitrak</t>
  </si>
  <si>
    <t>Structure carries an express lanes DMS SB no lumitrak</t>
  </si>
  <si>
    <t>Structure has one express lanes sign with lumitrak &amp; one VDOT no lumitrak NB</t>
  </si>
  <si>
    <t>Structure has two NB signs with lumitrak</t>
  </si>
  <si>
    <t>Structure carries an express lanes DMS SB &amp; one VDOT sign with lumitrak</t>
  </si>
  <si>
    <t>Structure carries an express lanes DMS NB &amp; two VDOT signs with lumitrak</t>
  </si>
  <si>
    <t>Structure carries three sign NB/SB with lumitrak</t>
  </si>
  <si>
    <t>Structure carries four NB/SB signs with lumitrak</t>
  </si>
  <si>
    <t>Structure carries an express lanes DMS EB &amp; one VDOT sign no lumitrak</t>
  </si>
  <si>
    <t>Structure carries an express lanes DMS &amp; one sign no lumitrak NB</t>
  </si>
  <si>
    <t>Structure has one express lanes sign with lumitrak, one VDOT sign with lumitrak &amp; one VDOT sign no lumitrak</t>
  </si>
  <si>
    <t>Structure carries an express lanes DMS WB and one VDOT sign no lumitrak</t>
  </si>
  <si>
    <t>Structure carries an express lanes DMS EB no lumitrak</t>
  </si>
  <si>
    <t>Structure has three signs with lumitrak SB</t>
  </si>
  <si>
    <t>Structure carries a DMS &amp; one sign SB no lumitrak</t>
  </si>
  <si>
    <t>Structure carries 2 VSL &amp; 6 LUS signs South B with lumitrak</t>
  </si>
  <si>
    <t>Structure carries an express lanes DMS WB no lumitrak</t>
  </si>
  <si>
    <t>Structure carries 2 VSL &amp; 6 LUS signs South B two with lumitrak</t>
  </si>
  <si>
    <t>Structure carries 2 VSL &amp; 3 LUS signs South B two with lumitrak</t>
  </si>
  <si>
    <t>Structure carries 2 VSL &amp; 6 LUS signs South/North B five with lumitrak</t>
  </si>
  <si>
    <t>Structure carries an express lanes DMS SB and one VDOT sign with lumitrak</t>
  </si>
  <si>
    <t>Structure carries an express lanes DMS NB and one VDOT sign with lumitrak</t>
  </si>
  <si>
    <t>Structure carries a DMS &amp; 2 VSL &amp; 6 LUS signs South B two with lumitrak</t>
  </si>
  <si>
    <t>Structure carries an express lanes DMS SB &amp; two VDOT signs one with and one no lumitrak</t>
  </si>
  <si>
    <t>Structure carries an express lanes DMS &amp; 2 VSL &amp; 6 LUS signs South B &amp; one VDOT sign with lumitrak</t>
  </si>
  <si>
    <t>Structure has one Express lanes sign &amp; three VDOT signs NB/SB all with lumitrak</t>
  </si>
  <si>
    <t>Structure carries an express lanes DMS NB &amp; one VDOT sign no lumitrak</t>
  </si>
  <si>
    <t>Structure carries an express lanes DMS NB</t>
  </si>
  <si>
    <t>Structure carries an express lanes DMS &amp; one express lanes sign no lumitrak &amp; one VDOT sign with lumitrak NB</t>
  </si>
  <si>
    <t>Structure carries 2 VSL &amp; 6 LUS signs North B with lumitrak</t>
  </si>
  <si>
    <t>Structure carries 2 VSL &amp; 6 LUS signs North B two with lumitrak</t>
  </si>
  <si>
    <t>Structure has four signs SB three with lumitrak</t>
  </si>
  <si>
    <t>OFF MAINLINE (between 158.6 &amp; 159)</t>
  </si>
  <si>
    <t>OFF MAINLINE ( between 158.6 &amp; 159)</t>
  </si>
  <si>
    <t>OFF MAINLINE ( between 160.6 &amp; 161)</t>
  </si>
  <si>
    <t>OFF MAINLINE (between 162 &amp; 162.4)</t>
  </si>
  <si>
    <t>N2-05</t>
  </si>
  <si>
    <t>STRUCTURE</t>
  </si>
  <si>
    <t>I95</t>
  </si>
  <si>
    <t>OPERATING</t>
  </si>
  <si>
    <t>S2-20N2-19</t>
  </si>
  <si>
    <t>S2-23N2-22</t>
  </si>
  <si>
    <t>S3-51N3-50</t>
  </si>
  <si>
    <t>N1-17</t>
  </si>
  <si>
    <t>Descriptive Location</t>
  </si>
  <si>
    <t>Mainline Station</t>
  </si>
  <si>
    <t>Bridge Type</t>
  </si>
  <si>
    <t>Aquia Creek</t>
  </si>
  <si>
    <t>95 Express Lanes over Aquia Creek</t>
  </si>
  <si>
    <t>New - Simple Span, Steel Girders</t>
  </si>
  <si>
    <t>Chopawamsic Creek</t>
  </si>
  <si>
    <t>95 Express Lanes over Chopawamsic Creek</t>
  </si>
  <si>
    <t>Russell Road</t>
  </si>
  <si>
    <t>95 Express Lanes over Russell Road</t>
  </si>
  <si>
    <t>Joplin Road</t>
  </si>
  <si>
    <t>95 Express Lanes over Joplin Road (Rte 619)</t>
  </si>
  <si>
    <t>New - 2 Span, PS Concrete Beams</t>
  </si>
  <si>
    <t>Quantico Creek</t>
  </si>
  <si>
    <t>95 Express Lanes over Quantico Creek and Mine Road</t>
  </si>
  <si>
    <t>Existing - 4 Span, Steel Girders</t>
  </si>
  <si>
    <t>Powell's Creek</t>
  </si>
  <si>
    <t>95 Express Lanes over Powells Creek</t>
  </si>
  <si>
    <t>Existing - 3 Span, Steel Girders</t>
  </si>
  <si>
    <t>Neabsco Creek</t>
  </si>
  <si>
    <t>95 Express Lanes over Neabsco Creek</t>
  </si>
  <si>
    <t>Occaquan River</t>
  </si>
  <si>
    <t>95 Express Lanes over Occaquan River</t>
  </si>
  <si>
    <t>Existing - 6 Span, Steel Girder</t>
  </si>
  <si>
    <t>Ramp C at Route 1</t>
  </si>
  <si>
    <t>95 Express Lanes over Ramp C at Route 1</t>
  </si>
  <si>
    <t>Widening - 3 Span, Steel Girder</t>
  </si>
  <si>
    <t>I-495 over WBL (Springfield)</t>
  </si>
  <si>
    <t>95 Express Lanes over I-495</t>
  </si>
  <si>
    <t>Exist.</t>
  </si>
  <si>
    <t>Northern Southern RR</t>
  </si>
  <si>
    <t>95 Express Lanes over Northern Southern RR</t>
  </si>
  <si>
    <t>New - Simple Span, PS Concrete Beams</t>
  </si>
  <si>
    <t>GHS Flyover</t>
  </si>
  <si>
    <t>Garrisonville Flyover</t>
  </si>
  <si>
    <t>New - 2 Span, Steel Girders</t>
  </si>
  <si>
    <t>JHS Flyover</t>
  </si>
  <si>
    <t>Flyover from 95 SB GP just north of Joplin Road</t>
  </si>
  <si>
    <t>New - 3 Span, Steel Girders</t>
  </si>
  <si>
    <t>Flyover Ramp B Opitz Blvd</t>
  </si>
  <si>
    <t>Flyover from 95 NB GP to 95 Express Lanes just north of Opitz Blvd</t>
  </si>
  <si>
    <t>Occaquan Road</t>
  </si>
  <si>
    <t>95 Express Lanes over Occaquan Rd [E.L. &amp; SB G.P.]</t>
  </si>
  <si>
    <t>Gordon Blvd Flyover Ramp</t>
  </si>
  <si>
    <t>Flyover to Gordon Blvd (Rte 123)</t>
  </si>
  <si>
    <t>Furnace Road</t>
  </si>
  <si>
    <t>95 Express Lanes over Furnace Rd (Rte 611) [E.L. &amp; NB G.P.]</t>
  </si>
  <si>
    <t>Lorton Road</t>
  </si>
  <si>
    <t>95 Express Lanes over Lorton Rd (Rte 642) [E.L., SB &amp; NB G.P.]</t>
  </si>
  <si>
    <t>Existing - 2 Span, Steel Girders</t>
  </si>
  <si>
    <t>Pohick Creek</t>
  </si>
  <si>
    <t>95 Express Lanes over Pohick Creek  [E.L., SB &amp; NB G.P.]</t>
  </si>
  <si>
    <t>Existing - Simple Span, Steel Girders</t>
  </si>
  <si>
    <t>Accotink Creek</t>
  </si>
  <si>
    <t>95 Express Lanes over Accotink Creek  [E.L., SB &amp; NB G.P.]</t>
  </si>
  <si>
    <t>FxEH Flyover</t>
  </si>
  <si>
    <t>Flyover at Boudinot</t>
  </si>
  <si>
    <t>Flyover Ramp  H-N at Newington</t>
  </si>
  <si>
    <t>NB Flyover Ramp H-N to I-95 just north of Fairfax Pkwy.</t>
  </si>
  <si>
    <t>Flyover Ramp B at Springfield</t>
  </si>
  <si>
    <t>Ramp H-S over 95 Express Lanes (SB Ramp under Franconia-Springfield Bridge)</t>
  </si>
  <si>
    <t>Flyover Ramp OK-H (Old Keene Mill to HOV)</t>
  </si>
  <si>
    <t>Ramp OK-E over 95 Express Lanes at Franconia Road (Rte 644)</t>
  </si>
  <si>
    <t>Ramp OK-E over Franconia Road (Rte 644)</t>
  </si>
  <si>
    <t>THN Flyover (Turkeycock)</t>
  </si>
  <si>
    <t>Turkeycock Flyover</t>
  </si>
  <si>
    <t>BR001</t>
  </si>
  <si>
    <t>BR002</t>
  </si>
  <si>
    <t>BR003</t>
  </si>
  <si>
    <t>BR004</t>
  </si>
  <si>
    <t>BR005</t>
  </si>
  <si>
    <t>BR006</t>
  </si>
  <si>
    <t>BR007</t>
  </si>
  <si>
    <t>BR008</t>
  </si>
  <si>
    <t>BR009</t>
  </si>
  <si>
    <t>BR010</t>
  </si>
  <si>
    <t>BR011</t>
  </si>
  <si>
    <t>BR012</t>
  </si>
  <si>
    <t>BR013</t>
  </si>
  <si>
    <t>BR014</t>
  </si>
  <si>
    <t>BR015</t>
  </si>
  <si>
    <t>BR016</t>
  </si>
  <si>
    <t>BR017</t>
  </si>
  <si>
    <t>BR018</t>
  </si>
  <si>
    <t>BR019</t>
  </si>
  <si>
    <t>BR020</t>
  </si>
  <si>
    <t>BR021</t>
  </si>
  <si>
    <t>BR022</t>
  </si>
  <si>
    <t>BR023</t>
  </si>
  <si>
    <t>BR024</t>
  </si>
  <si>
    <t>BR025</t>
  </si>
  <si>
    <t>BR026</t>
  </si>
  <si>
    <t>MM</t>
  </si>
  <si>
    <t>Old comment</t>
  </si>
  <si>
    <t>LOCATION</t>
  </si>
  <si>
    <t>DESCRIPTION</t>
  </si>
  <si>
    <t>PARENT</t>
  </si>
  <si>
    <t>SEG01MM</t>
  </si>
  <si>
    <t>SEG02SMM</t>
  </si>
  <si>
    <t>SEG02NMM</t>
  </si>
  <si>
    <t>SEG03SMM</t>
  </si>
  <si>
    <t>SEG03NMM</t>
  </si>
  <si>
    <t>SEG04MM</t>
  </si>
  <si>
    <t>I-395</t>
  </si>
  <si>
    <t>SEG01</t>
  </si>
  <si>
    <t>SEG02S</t>
  </si>
  <si>
    <t>SEG03S</t>
  </si>
  <si>
    <t>SEG04</t>
  </si>
  <si>
    <t>SEG02N</t>
  </si>
  <si>
    <t>SEG03N</t>
  </si>
  <si>
    <t>SP_PERSONID</t>
  </si>
  <si>
    <t>EXTSYS1</t>
  </si>
  <si>
    <t>EN</t>
  </si>
  <si>
    <t>N1-01A</t>
  </si>
  <si>
    <t>Light Pole #</t>
  </si>
  <si>
    <t>Luminaire Wattage</t>
  </si>
  <si>
    <t>Mounting Height</t>
  </si>
  <si>
    <t>CC1-001</t>
  </si>
  <si>
    <t>CC1-002</t>
  </si>
  <si>
    <t>CC2-012</t>
  </si>
  <si>
    <t>CC2-013</t>
  </si>
  <si>
    <t>CC2-014</t>
  </si>
  <si>
    <t>CC2-015</t>
  </si>
  <si>
    <t>CC2-016</t>
  </si>
  <si>
    <t>CC2-017</t>
  </si>
  <si>
    <t>CC2-018</t>
  </si>
  <si>
    <t>CC2-019</t>
  </si>
  <si>
    <t>CC2-020</t>
  </si>
  <si>
    <t>CC2-021</t>
  </si>
  <si>
    <t>CC2-022</t>
  </si>
  <si>
    <t>CC2-023</t>
  </si>
  <si>
    <t>CC2-024</t>
  </si>
  <si>
    <t>CC2-025</t>
  </si>
  <si>
    <t>CC2-026</t>
  </si>
  <si>
    <t>CC2-027</t>
  </si>
  <si>
    <t>CC3-001</t>
  </si>
  <si>
    <t>CC3-002</t>
  </si>
  <si>
    <t>CC4-005</t>
  </si>
  <si>
    <t>CC4-006</t>
  </si>
  <si>
    <t>CC4-007</t>
  </si>
  <si>
    <t>CC4-008</t>
  </si>
  <si>
    <t>CC4-009</t>
  </si>
  <si>
    <t>CC4-010</t>
  </si>
  <si>
    <t>CC4-011</t>
  </si>
  <si>
    <t>CC4-012</t>
  </si>
  <si>
    <t>EX S2-02</t>
  </si>
  <si>
    <t>EX S2-01</t>
  </si>
  <si>
    <t>2N-01</t>
  </si>
  <si>
    <t>2N-04</t>
  </si>
  <si>
    <t>2N-101</t>
  </si>
  <si>
    <t>2N-02</t>
  </si>
  <si>
    <t>2N-10</t>
  </si>
  <si>
    <t>2N-03</t>
  </si>
  <si>
    <t>2N-07</t>
  </si>
  <si>
    <t>2N-06</t>
  </si>
  <si>
    <t xml:space="preserve"> 2N-18</t>
  </si>
  <si>
    <t xml:space="preserve"> 2N-26</t>
  </si>
  <si>
    <t xml:space="preserve"> 2N-19</t>
  </si>
  <si>
    <t xml:space="preserve"> 2N-20</t>
  </si>
  <si>
    <t xml:space="preserve"> 2N-21</t>
  </si>
  <si>
    <t xml:space="preserve"> 2N-22</t>
  </si>
  <si>
    <t xml:space="preserve"> 2N-23</t>
  </si>
  <si>
    <t xml:space="preserve"> 2N-24</t>
  </si>
  <si>
    <t>3S-103</t>
  </si>
  <si>
    <t>3S-01</t>
  </si>
  <si>
    <t>3S-02</t>
  </si>
  <si>
    <t>3S-03</t>
  </si>
  <si>
    <t>3S-04</t>
  </si>
  <si>
    <t>3S-05</t>
  </si>
  <si>
    <t>3N-03</t>
  </si>
  <si>
    <t>3N-106</t>
  </si>
  <si>
    <t>3N-05</t>
  </si>
  <si>
    <t>3N-107</t>
  </si>
  <si>
    <t>3N-09</t>
  </si>
  <si>
    <t>3N-10</t>
  </si>
  <si>
    <t>3N-108</t>
  </si>
  <si>
    <t>3N-11</t>
  </si>
  <si>
    <t>3N-36</t>
  </si>
  <si>
    <t>3N-37</t>
  </si>
  <si>
    <t>3N-38</t>
  </si>
  <si>
    <t>3N-30</t>
  </si>
  <si>
    <t>3N-19</t>
  </si>
  <si>
    <t>3N-109</t>
  </si>
  <si>
    <t>3N-14</t>
  </si>
  <si>
    <t>3N-27</t>
  </si>
  <si>
    <t>3N-18</t>
  </si>
  <si>
    <t>3N-131</t>
  </si>
  <si>
    <t>3N-213</t>
  </si>
  <si>
    <t>3N-24</t>
  </si>
  <si>
    <t>3N-126</t>
  </si>
  <si>
    <t>3N-127</t>
  </si>
  <si>
    <t>3N-128</t>
  </si>
  <si>
    <t>3N-129</t>
  </si>
  <si>
    <t>3N-17</t>
  </si>
  <si>
    <t>3N-20</t>
  </si>
  <si>
    <t>3N-130</t>
  </si>
  <si>
    <t>3N-214</t>
  </si>
  <si>
    <t>3N-13</t>
  </si>
  <si>
    <t>3N-21</t>
  </si>
  <si>
    <t>3N-31</t>
  </si>
  <si>
    <t>3N-32</t>
  </si>
  <si>
    <t>3N-33</t>
  </si>
  <si>
    <t>3N-132</t>
  </si>
  <si>
    <t>3N-34</t>
  </si>
  <si>
    <t>3N-35</t>
  </si>
  <si>
    <t>3N-133</t>
  </si>
  <si>
    <t>3N-134</t>
  </si>
  <si>
    <t>3N-135</t>
  </si>
  <si>
    <t>3N-136</t>
  </si>
  <si>
    <t>3N-137</t>
  </si>
  <si>
    <t>3N-216</t>
  </si>
  <si>
    <t>3N-217</t>
  </si>
  <si>
    <t>3N-218</t>
  </si>
  <si>
    <t>3N-219</t>
  </si>
  <si>
    <t>3N-138</t>
  </si>
  <si>
    <t>3N-139</t>
  </si>
  <si>
    <t>3N-156</t>
  </si>
  <si>
    <t>4S-01</t>
  </si>
  <si>
    <t>4S-101</t>
  </si>
  <si>
    <t>4S-102</t>
  </si>
  <si>
    <t>4S-103</t>
  </si>
  <si>
    <t>4S-104</t>
  </si>
  <si>
    <t>4S-105</t>
  </si>
  <si>
    <t>4S-106</t>
  </si>
  <si>
    <t>4S-107</t>
  </si>
  <si>
    <t>4S-108</t>
  </si>
  <si>
    <t>4S-109</t>
  </si>
  <si>
    <t>4S-110</t>
  </si>
  <si>
    <t>4S-111</t>
  </si>
  <si>
    <t>4S-112</t>
  </si>
  <si>
    <t>4S-113</t>
  </si>
  <si>
    <t>4S-114</t>
  </si>
  <si>
    <t>4S-115</t>
  </si>
  <si>
    <t>4S-116</t>
  </si>
  <si>
    <t>4S-117</t>
  </si>
  <si>
    <t>4S-118</t>
  </si>
  <si>
    <t>4S-119</t>
  </si>
  <si>
    <t>4S-120</t>
  </si>
  <si>
    <t>4S-121</t>
  </si>
  <si>
    <t>4S-122</t>
  </si>
  <si>
    <t>4S-123</t>
  </si>
  <si>
    <t>4S-124</t>
  </si>
  <si>
    <t>4S-125</t>
  </si>
  <si>
    <t>4S-126</t>
  </si>
  <si>
    <t>4S-127</t>
  </si>
  <si>
    <t>4S-128</t>
  </si>
  <si>
    <t>4S-129</t>
  </si>
  <si>
    <t>4S-130</t>
  </si>
  <si>
    <t>4S-131</t>
  </si>
  <si>
    <t>4S-132</t>
  </si>
  <si>
    <t>4S-133</t>
  </si>
  <si>
    <t>4S-134</t>
  </si>
  <si>
    <t>4S-135</t>
  </si>
  <si>
    <t>4S-136</t>
  </si>
  <si>
    <t>4S-137</t>
  </si>
  <si>
    <t>4S-138</t>
  </si>
  <si>
    <t>4S-139</t>
  </si>
  <si>
    <t>4S-140</t>
  </si>
  <si>
    <t>4S-141</t>
  </si>
  <si>
    <t>4S-142</t>
  </si>
  <si>
    <t>4S-144</t>
  </si>
  <si>
    <t>4S-06</t>
  </si>
  <si>
    <t>4S-07</t>
  </si>
  <si>
    <t>4S-08</t>
  </si>
  <si>
    <t>4S-09</t>
  </si>
  <si>
    <t>TUI95</t>
  </si>
  <si>
    <t>No lums</t>
  </si>
  <si>
    <t>no lums</t>
  </si>
  <si>
    <t>ELECTRICAL</t>
  </si>
  <si>
    <t>ENTASSET \ CIVIL \ STRUCTURE \ BRIDGES</t>
  </si>
  <si>
    <t>ENTASSET \ ETTM \ SIGNAGE</t>
  </si>
  <si>
    <t>ASSET_ASSETID</t>
  </si>
  <si>
    <t>ASSET_ASSETNUM</t>
  </si>
  <si>
    <t>ASSET_ASSETTYPE</t>
  </si>
  <si>
    <t>ASSET_CHANGEPMSTATUS</t>
  </si>
  <si>
    <t>ASSET_DESCRIPTION</t>
  </si>
  <si>
    <t>ASSET_DESCRIPTION_LD</t>
  </si>
  <si>
    <t>ASSET_DESIGNLIFE</t>
  </si>
  <si>
    <t>ASSET_DIRECTION</t>
  </si>
  <si>
    <t>ASSET_DISABLED</t>
  </si>
  <si>
    <t>ASSET_DRAWINGS</t>
  </si>
  <si>
    <t>ASSET_ELEMENT</t>
  </si>
  <si>
    <t>ASSET_FAILURECODE</t>
  </si>
  <si>
    <t>ASSET_HIERARCHYPATH</t>
  </si>
  <si>
    <t>ASSET_INSTALLDATE</t>
  </si>
  <si>
    <t>ASSET_ISLINEAR</t>
  </si>
  <si>
    <t>ASSET_ISRUNNING</t>
  </si>
  <si>
    <t>ASSET_ITEMNUM</t>
  </si>
  <si>
    <t>ASSET_ITEMSETID</t>
  </si>
  <si>
    <t>ASSET_ITEMTYPE</t>
  </si>
  <si>
    <t>ASSET_LOCATION</t>
  </si>
  <si>
    <t>ASSET_LRM</t>
  </si>
  <si>
    <t>ASSET_MANUFACTURER</t>
  </si>
  <si>
    <t>ASSET_NEWSITE</t>
  </si>
  <si>
    <t>ASSET_ORGID</t>
  </si>
  <si>
    <t>ASSET_PARENT</t>
  </si>
  <si>
    <t>ASSET_PRIORITY</t>
  </si>
  <si>
    <t>ASSET_PURCHASEPRICE</t>
  </si>
  <si>
    <t>ASSET_REMOVEFROMACTIVEROUTES</t>
  </si>
  <si>
    <t>ASSET_REMOVEFROMACTIVESP</t>
  </si>
  <si>
    <t>ASSET_REPLACECOST</t>
  </si>
  <si>
    <t>ASSET_ROLLTOALLCHILDREN</t>
  </si>
  <si>
    <t>ASSET_SADDRESSCODE</t>
  </si>
  <si>
    <t>ASSET_SERIALNUM</t>
  </si>
  <si>
    <t>ASSET_SITEID</t>
  </si>
  <si>
    <t>ASSET_STATUS</t>
  </si>
  <si>
    <t>ASSET_STATUSDATE</t>
  </si>
  <si>
    <t>ASSET_TUASSETNUM</t>
  </si>
  <si>
    <t>ASSET_TUCHAINEND</t>
  </si>
  <si>
    <t>ASSET_TUCHAINSTART</t>
  </si>
  <si>
    <t>ASSET_VENDOR</t>
  </si>
  <si>
    <t>ASSET_WARRANTYEXPDATE</t>
  </si>
  <si>
    <t>ASSET_YTDCOST</t>
  </si>
  <si>
    <t>ASSPEC_ALNVALUE</t>
  </si>
  <si>
    <t>ASSPEC_ASSETATTRID</t>
  </si>
  <si>
    <t>ASSPEC_LINEARASSETSPECID</t>
  </si>
  <si>
    <t>ASSPEC_MESRUNITID</t>
  </si>
  <si>
    <t>ASSPEC_NUMVALUE</t>
  </si>
  <si>
    <t>ASSPEC_ORGID</t>
  </si>
  <si>
    <t>ASSPEC_SECTION</t>
  </si>
  <si>
    <t>CUST_ISCUSTODIAN</t>
  </si>
  <si>
    <t>CUST_ISPRIMARY</t>
  </si>
  <si>
    <t>CUST_LOCATION</t>
  </si>
  <si>
    <t>CUST_ORGID</t>
  </si>
  <si>
    <t>CUST_PERSONID</t>
  </si>
  <si>
    <t>TST</t>
  </si>
  <si>
    <t>Enterprise Asset Classification,Mechanical and Electrical,Lighting &amp; Switching Systems,Light Pole, 1.0, 250.0, 45.0</t>
  </si>
  <si>
    <t>ENTASSET \ ME \ LIGHTING \ LIGHTPOLE</t>
  </si>
  <si>
    <t>2014-12-10T00:00:00+11:00</t>
  </si>
  <si>
    <t>ACTIVE</t>
  </si>
  <si>
    <t>2014-12-10T09:53:09+11:00</t>
  </si>
  <si>
    <t>LUMWATT</t>
  </si>
  <si>
    <t>MTHEIGHT</t>
  </si>
  <si>
    <t>TST2</t>
  </si>
  <si>
    <t>Asset no spec</t>
  </si>
  <si>
    <t>2014-12-10T09:53:10+11:00</t>
  </si>
  <si>
    <t>AMIS_ASSET_R01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</si>
</sst>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color theme="1"/>
      <name val="Calibri"/>
      <family val="2"/>
      <scheme val="minor"/>
    </font>
    <font>
      <sz val="10"/>
      <color rgb="FF000000"/>
      <name val="Times New Roman"/>
      <family val="1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32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15" fillId="0" borderId="0" applyNumberFormat="0" applyFill="0" applyBorder="0" applyAlignment="0" applyProtection="0"/>
    <xf numFmtId="0" fontId="16" fillId="7" borderId="1" applyNumberFormat="0" applyAlignment="0" applyProtection="0"/>
    <xf numFmtId="0" fontId="17" fillId="0" borderId="6" applyNumberFormat="0" applyFill="0" applyAlignment="0" applyProtection="0"/>
    <xf numFmtId="0" fontId="18" fillId="2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23" borderId="7" applyNumberFormat="0" applyFont="0" applyAlignment="0" applyProtection="0"/>
    <xf numFmtId="0" fontId="2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4" fillId="0" borderId="0"/>
  </cellStyleXfs>
  <cellXfs count="10">
    <xf numFmtId="0" fontId="0" fillId="0" borderId="0" xfId="0"/>
    <xf numFmtId="0" fontId="23" fillId="0" borderId="0" xfId="0" applyFont="1"/>
    <xf numFmtId="0" fontId="23" fillId="0" borderId="0" xfId="0" applyFont="1" applyAlignment="1">
      <alignment horizontal="left" vertical="top"/>
    </xf>
    <xf numFmtId="0" fontId="0" fillId="0" borderId="0" xfId="0" quotePrefix="1" applyFont="1"/>
    <xf numFmtId="166" fontId="0" fillId="0" borderId="0" xfId="0" applyNumberFormat="1"/>
    <xf numFmtId="166" fontId="0" fillId="0" borderId="0" xfId="0" quotePrefix="1" applyNumberFormat="1"/>
    <xf numFmtId="2" fontId="23" fillId="0" borderId="0" xfId="0" applyNumberFormat="1" applyFont="1" applyAlignment="1">
      <alignment vertical="top"/>
    </xf>
    <xf numFmtId="2" fontId="0" fillId="0" borderId="0" xfId="0" applyNumberFormat="1"/>
    <xf numFmtId="2" fontId="0" fillId="0" borderId="0" xfId="0" applyNumberFormat="1" applyAlignment="1">
      <alignment vertical="top"/>
    </xf>
    <xf numFmtId="0" fontId="23" fillId="0" borderId="0" xfId="0" applyFont="1" applyAlignment="1"/>
  </cellXfs>
  <cellStyles count="132">
    <cellStyle name="20% - Accent1 2" xfId="6"/>
    <cellStyle name="20% - Accent2 2" xfId="7"/>
    <cellStyle name="20% - Accent3 2" xfId="8"/>
    <cellStyle name="20% - Accent4 2" xfId="9"/>
    <cellStyle name="20% - Accent5 2" xfId="10"/>
    <cellStyle name="20% - Accent6 2" xfId="11"/>
    <cellStyle name="40% - Accent1 2" xfId="12"/>
    <cellStyle name="40% - Accent2 2" xfId="13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 2" xfId="28"/>
    <cellStyle name="Accent6 2" xfId="29"/>
    <cellStyle name="Bad 2" xfId="30"/>
    <cellStyle name="Calculation 2" xfId="31"/>
    <cellStyle name="Check Cell 2" xfId="32"/>
    <cellStyle name="Comma 10" xfId="33"/>
    <cellStyle name="Comma 11" xfId="34"/>
    <cellStyle name="Comma 12" xfId="35"/>
    <cellStyle name="Comma 13" xfId="36"/>
    <cellStyle name="Comma 14" xfId="37"/>
    <cellStyle name="Comma 15" xfId="38"/>
    <cellStyle name="Comma 16" xfId="39"/>
    <cellStyle name="Comma 17" xfId="40"/>
    <cellStyle name="Comma 17 2" xfId="41"/>
    <cellStyle name="Comma 18" xfId="42"/>
    <cellStyle name="Comma 2" xfId="43"/>
    <cellStyle name="Comma 2 2" xfId="44"/>
    <cellStyle name="Comma 2 3" xfId="45"/>
    <cellStyle name="Comma 3" xfId="46"/>
    <cellStyle name="Comma 4" xfId="47"/>
    <cellStyle name="Comma 4 2" xfId="48"/>
    <cellStyle name="Comma 5" xfId="49"/>
    <cellStyle name="Comma 6" xfId="50"/>
    <cellStyle name="Comma 7" xfId="51"/>
    <cellStyle name="Comma 8" xfId="52"/>
    <cellStyle name="Comma 9" xfId="53"/>
    <cellStyle name="Currency 2" xfId="54"/>
    <cellStyle name="Currency 2 2" xfId="55"/>
    <cellStyle name="Explanatory Text 2" xfId="56"/>
    <cellStyle name="Good 2" xfId="57"/>
    <cellStyle name="Heading 1 2" xfId="58"/>
    <cellStyle name="Heading 2 2" xfId="59"/>
    <cellStyle name="Heading 3 2" xfId="60"/>
    <cellStyle name="Heading 4 2" xfId="61"/>
    <cellStyle name="Hyperlink 2" xfId="62"/>
    <cellStyle name="Hyperlink 2 2" xfId="63"/>
    <cellStyle name="Hyperlink 3" xfId="64"/>
    <cellStyle name="Hyperlink 4" xfId="65"/>
    <cellStyle name="Input 2" xfId="66"/>
    <cellStyle name="Linked Cell 2" xfId="67"/>
    <cellStyle name="Neutral 2" xfId="68"/>
    <cellStyle name="Normal" xfId="0" builtinId="0"/>
    <cellStyle name="Normal 10" xfId="5"/>
    <cellStyle name="Normal 10 2" xfId="69"/>
    <cellStyle name="Normal 11" xfId="70"/>
    <cellStyle name="Normal 11 3" xfId="71"/>
    <cellStyle name="Normal 12" xfId="72"/>
    <cellStyle name="Normal 13" xfId="73"/>
    <cellStyle name="Normal 14" xfId="74"/>
    <cellStyle name="Normal 14 2" xfId="75"/>
    <cellStyle name="Normal 15" xfId="76"/>
    <cellStyle name="Normal 16" xfId="77"/>
    <cellStyle name="Normal 17" xfId="78"/>
    <cellStyle name="Normal 18" xfId="79"/>
    <cellStyle name="Normal 18 2" xfId="80"/>
    <cellStyle name="Normal 18 3" xfId="81"/>
    <cellStyle name="Normal 19" xfId="2"/>
    <cellStyle name="Normal 19 2" xfId="3"/>
    <cellStyle name="Normal 19 3" xfId="82"/>
    <cellStyle name="Normal 2" xfId="1"/>
    <cellStyle name="Normal 2 2" xfId="83"/>
    <cellStyle name="Normal 2 2 2" xfId="84"/>
    <cellStyle name="Normal 2 3" xfId="85"/>
    <cellStyle name="Normal 20" xfId="86"/>
    <cellStyle name="Normal 20 2" xfId="87"/>
    <cellStyle name="Normal 20 3" xfId="88"/>
    <cellStyle name="Normal 21" xfId="89"/>
    <cellStyle name="Normal 22" xfId="4"/>
    <cellStyle name="Normal 22 2" xfId="90"/>
    <cellStyle name="Normal 22 2 2" xfId="91"/>
    <cellStyle name="Normal 22 3" xfId="92"/>
    <cellStyle name="Normal 23" xfId="93"/>
    <cellStyle name="Normal 24" xfId="94"/>
    <cellStyle name="Normal 25" xfId="95"/>
    <cellStyle name="Normal 26" xfId="96"/>
    <cellStyle name="Normal 27" xfId="97"/>
    <cellStyle name="Normal 28" xfId="98"/>
    <cellStyle name="Normal 29" xfId="99"/>
    <cellStyle name="Normal 29 2" xfId="100"/>
    <cellStyle name="Normal 3" xfId="101"/>
    <cellStyle name="Normal 3 2" xfId="102"/>
    <cellStyle name="Normal 3 3" xfId="131"/>
    <cellStyle name="Normal 30" xfId="103"/>
    <cellStyle name="Normal 31" xfId="104"/>
    <cellStyle name="Normal 31 2" xfId="105"/>
    <cellStyle name="Normal 32" xfId="106"/>
    <cellStyle name="Normal 33" xfId="107"/>
    <cellStyle name="Normal 4" xfId="108"/>
    <cellStyle name="Normal 4 2" xfId="109"/>
    <cellStyle name="Normal 4 3" xfId="110"/>
    <cellStyle name="Normal 4 3 2" xfId="111"/>
    <cellStyle name="Normal 4 4" xfId="112"/>
    <cellStyle name="Normal 4 5" xfId="113"/>
    <cellStyle name="Normal 5" xfId="114"/>
    <cellStyle name="Normal 5 2" xfId="115"/>
    <cellStyle name="Normal 5 3" xfId="116"/>
    <cellStyle name="Normal 5 4" xfId="117"/>
    <cellStyle name="Normal 6" xfId="118"/>
    <cellStyle name="Normal 6 2" xfId="119"/>
    <cellStyle name="Normal 6 3" xfId="120"/>
    <cellStyle name="Normal 7" xfId="121"/>
    <cellStyle name="Normal 8" xfId="122"/>
    <cellStyle name="Normal 9" xfId="123"/>
    <cellStyle name="Normal 9 2" xfId="124"/>
    <cellStyle name="Note 2" xfId="125"/>
    <cellStyle name="Note 2 2" xfId="126"/>
    <cellStyle name="Output 2" xfId="127"/>
    <cellStyle name="Title 2" xfId="128"/>
    <cellStyle name="Total 2" xfId="129"/>
    <cellStyle name="Warning Text 2" xfId="130"/>
  </cellStyles>
  <dxfs count="6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  <alignment horizontal="general" vertical="top" textRotation="0" wrapText="0" indent="0" justifyLastLine="0" shrinkToFit="0" readingOrder="0"/>
    </dxf>
    <dxf>
      <numFmt numFmtId="166" formatCode="0.0"/>
    </dxf>
  </dxfs>
  <tableStyles count="0" defaultTableStyle="TableStyleMedium2" defaultPivotStyle="PivotStyleLight16"/>
  <colors>
    <mruColors>
      <color rgb="FFF83AEA"/>
      <color rgb="FFFF0066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1" name="segment1" displayName="segment1" ref="A1:E47" totalsRowShown="0">
  <autoFilter ref="A1:E47"/>
  <tableColumns count="5">
    <tableColumn id="7" name="MM" dataDxfId="5"/>
    <tableColumn id="1" name="Mile Marker"/>
    <tableColumn id="2" name="LOCATION"/>
    <tableColumn id="3" name="DESCRIPTION"/>
    <tableColumn id="4" name="PAR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segment2s" displayName="segment2s" ref="A1:D19" totalsRowShown="0">
  <autoFilter ref="A1:D19"/>
  <tableColumns count="4">
    <tableColumn id="1" name="MM" dataDxfId="4"/>
    <tableColumn id="2" name="LOCATION"/>
    <tableColumn id="3" name="DESCRIPTION"/>
    <tableColumn id="4" name="PAR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segment2n" displayName="segment2n" ref="A1:D19" totalsRowShown="0">
  <autoFilter ref="A1:D19"/>
  <tableColumns count="4">
    <tableColumn id="1" name="MM" dataDxfId="3"/>
    <tableColumn id="2" name="LOCATION"/>
    <tableColumn id="3" name="DESCRIPTION"/>
    <tableColumn id="4" name="PAR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segment3s" displayName="segment3s" ref="A1:D35" totalsRowShown="0">
  <autoFilter ref="A1:D35"/>
  <tableColumns count="4">
    <tableColumn id="1" name="MM" dataDxfId="2"/>
    <tableColumn id="2" name="LOCATION"/>
    <tableColumn id="3" name="DESCRIPTION"/>
    <tableColumn id="4" name="PAR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segment3n" displayName="segment3n" ref="A1:D27" totalsRowShown="0">
  <autoFilter ref="A1:D27"/>
  <tableColumns count="4">
    <tableColumn id="1" name="MM" dataDxfId="1"/>
    <tableColumn id="2" name="LOCATION"/>
    <tableColumn id="3" name="DESCRIPTION"/>
    <tableColumn id="4" name="PAR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6" name="segment4" displayName="segment4" ref="A1:D10" totalsRowShown="0">
  <autoFilter ref="A1:D10"/>
  <tableColumns count="4">
    <tableColumn id="1" name="MM" dataDxfId="0"/>
    <tableColumn id="2" name="LOCATION"/>
    <tableColumn id="3" name="DESCRIPTION"/>
    <tableColumn id="4" name="PAR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86"/>
  <sheetViews>
    <sheetView zoomScale="120" zoomScaleNormal="120" workbookViewId="0">
      <pane ySplit="3" topLeftCell="A4" activePane="bottomLeft" state="frozen"/>
      <selection pane="bottomLeft" activeCell="A23" sqref="A23"/>
    </sheetView>
  </sheetViews>
  <sheetFormatPr defaultRowHeight="11.25" x14ac:dyDescent="0.2"/>
  <cols>
    <col min="1" max="1" width="12.140625" style="1" bestFit="1" customWidth="1"/>
    <col min="2" max="2" width="76.85546875" style="1" bestFit="1" customWidth="1"/>
    <col min="3" max="3" width="26.5703125" style="1" bestFit="1" customWidth="1"/>
    <col min="4" max="4" width="16.140625" style="1" customWidth="1"/>
    <col min="5" max="5" width="9.140625" style="1" bestFit="1" customWidth="1"/>
    <col min="6" max="6" width="10.5703125" style="1" bestFit="1" customWidth="1"/>
    <col min="7" max="7" width="8.140625" style="1" bestFit="1" customWidth="1"/>
    <col min="8" max="11" width="9.140625" style="1" hidden="1" customWidth="1"/>
    <col min="12" max="12" width="5.28515625" style="1" bestFit="1" customWidth="1"/>
    <col min="13" max="13" width="9.140625" style="1"/>
    <col min="14" max="14" width="18.85546875" style="1" bestFit="1" customWidth="1"/>
    <col min="15" max="16384" width="9.140625" style="1"/>
  </cols>
  <sheetData>
    <row r="2" spans="1:14" x14ac:dyDescent="0.2">
      <c r="A2" s="1" t="s">
        <v>411</v>
      </c>
      <c r="B2" s="1" t="s">
        <v>414</v>
      </c>
      <c r="C2" s="1" t="s">
        <v>232</v>
      </c>
      <c r="D2" s="1" t="s">
        <v>429</v>
      </c>
      <c r="E2" s="1" t="s">
        <v>80</v>
      </c>
      <c r="F2" s="1" t="s">
        <v>463</v>
      </c>
      <c r="G2" s="9" t="s">
        <v>249</v>
      </c>
      <c r="L2" s="1" t="s">
        <v>231</v>
      </c>
      <c r="M2" s="1" t="s">
        <v>421</v>
      </c>
      <c r="N2" s="1" t="s">
        <v>422</v>
      </c>
    </row>
    <row r="3" spans="1:14" x14ac:dyDescent="0.2">
      <c r="F3" s="1" t="s">
        <v>0</v>
      </c>
      <c r="G3" s="1" t="s">
        <v>1</v>
      </c>
    </row>
    <row r="4" spans="1:14" x14ac:dyDescent="0.2">
      <c r="A4" s="1" t="s">
        <v>252</v>
      </c>
      <c r="B4" s="1" t="s">
        <v>83</v>
      </c>
      <c r="D4" s="1" t="str">
        <f>"MM" &amp; L4</f>
        <v>MM143.4</v>
      </c>
      <c r="E4" s="1">
        <v>143.5</v>
      </c>
      <c r="F4" s="1" t="s">
        <v>133</v>
      </c>
      <c r="G4" s="1" t="s">
        <v>133</v>
      </c>
      <c r="L4" s="1">
        <f>setMM(E4)</f>
        <v>143.4</v>
      </c>
      <c r="M4" s="1" t="s">
        <v>407</v>
      </c>
      <c r="N4" s="1" t="s">
        <v>409</v>
      </c>
    </row>
    <row r="5" spans="1:14" x14ac:dyDescent="0.2">
      <c r="A5" s="1" t="s">
        <v>3</v>
      </c>
      <c r="B5" s="1" t="s">
        <v>83</v>
      </c>
      <c r="D5" s="1" t="str">
        <f t="shared" ref="D5:D68" si="0">"MM" &amp; L5</f>
        <v>MM144</v>
      </c>
      <c r="E5" s="1">
        <v>144.12</v>
      </c>
      <c r="F5" s="1" t="s">
        <v>133</v>
      </c>
      <c r="G5" s="1" t="s">
        <v>133</v>
      </c>
      <c r="L5" s="1">
        <f t="shared" ref="L5:L46" si="1">setMM(E5)</f>
        <v>144</v>
      </c>
      <c r="M5" s="1" t="s">
        <v>407</v>
      </c>
      <c r="N5" s="1" t="s">
        <v>409</v>
      </c>
    </row>
    <row r="6" spans="1:14" x14ac:dyDescent="0.2">
      <c r="A6" s="1" t="s">
        <v>4</v>
      </c>
      <c r="B6" s="1" t="s">
        <v>83</v>
      </c>
      <c r="D6" s="1" t="str">
        <f t="shared" si="0"/>
        <v>MM144.2</v>
      </c>
      <c r="E6" s="1">
        <v>144.30000000000001</v>
      </c>
      <c r="F6" s="1" t="s">
        <v>133</v>
      </c>
      <c r="G6" s="1" t="s">
        <v>133</v>
      </c>
      <c r="L6" s="1">
        <f t="shared" si="1"/>
        <v>144.19999999999999</v>
      </c>
      <c r="M6" s="1" t="s">
        <v>407</v>
      </c>
      <c r="N6" s="1" t="s">
        <v>409</v>
      </c>
    </row>
    <row r="7" spans="1:14" x14ac:dyDescent="0.2">
      <c r="A7" s="1" t="s">
        <v>5</v>
      </c>
      <c r="B7" s="1" t="s">
        <v>81</v>
      </c>
      <c r="D7" s="1" t="str">
        <f t="shared" si="0"/>
        <v>MM144.4</v>
      </c>
      <c r="E7" s="1">
        <v>144.47</v>
      </c>
      <c r="F7" s="1" t="s">
        <v>133</v>
      </c>
      <c r="G7" s="1" t="s">
        <v>133</v>
      </c>
      <c r="L7" s="1">
        <f t="shared" si="1"/>
        <v>144.4</v>
      </c>
      <c r="M7" s="1" t="s">
        <v>407</v>
      </c>
      <c r="N7" s="1" t="s">
        <v>409</v>
      </c>
    </row>
    <row r="8" spans="1:14" x14ac:dyDescent="0.2">
      <c r="A8" s="1" t="s">
        <v>6</v>
      </c>
      <c r="B8" s="1" t="s">
        <v>83</v>
      </c>
      <c r="D8" s="1" t="str">
        <f t="shared" si="0"/>
        <v>MM144.6</v>
      </c>
      <c r="E8" s="1">
        <v>144.63999999999999</v>
      </c>
      <c r="F8" s="1" t="s">
        <v>133</v>
      </c>
      <c r="G8" s="1" t="s">
        <v>133</v>
      </c>
      <c r="L8" s="1">
        <f t="shared" si="1"/>
        <v>144.6</v>
      </c>
      <c r="M8" s="1" t="s">
        <v>407</v>
      </c>
      <c r="N8" s="1" t="s">
        <v>409</v>
      </c>
    </row>
    <row r="9" spans="1:14" x14ac:dyDescent="0.2">
      <c r="A9" s="1" t="s">
        <v>7</v>
      </c>
      <c r="B9" s="1" t="s">
        <v>83</v>
      </c>
      <c r="D9" s="1" t="str">
        <f t="shared" si="0"/>
        <v>MM144.8</v>
      </c>
      <c r="E9" s="1">
        <v>144.80000000000001</v>
      </c>
      <c r="F9" s="1" t="s">
        <v>133</v>
      </c>
      <c r="G9" s="1" t="s">
        <v>133</v>
      </c>
      <c r="L9" s="1">
        <f t="shared" si="1"/>
        <v>144.80000000000001</v>
      </c>
      <c r="M9" s="1" t="s">
        <v>407</v>
      </c>
      <c r="N9" s="1" t="s">
        <v>409</v>
      </c>
    </row>
    <row r="10" spans="1:14" x14ac:dyDescent="0.2">
      <c r="A10" s="1" t="s">
        <v>8</v>
      </c>
      <c r="B10" s="1" t="s">
        <v>81</v>
      </c>
      <c r="D10" s="1" t="str">
        <f t="shared" si="0"/>
        <v>MM145</v>
      </c>
      <c r="E10" s="1">
        <v>145.05000000000001</v>
      </c>
      <c r="F10" s="1" t="s">
        <v>133</v>
      </c>
      <c r="G10" s="1" t="s">
        <v>133</v>
      </c>
      <c r="L10" s="1">
        <f t="shared" si="1"/>
        <v>145</v>
      </c>
      <c r="M10" s="1" t="s">
        <v>407</v>
      </c>
      <c r="N10" s="1" t="s">
        <v>409</v>
      </c>
    </row>
    <row r="11" spans="1:14" x14ac:dyDescent="0.2">
      <c r="A11" s="1" t="s">
        <v>10</v>
      </c>
      <c r="B11" s="1" t="s">
        <v>82</v>
      </c>
      <c r="D11" s="1" t="str">
        <f t="shared" si="0"/>
        <v>MM145.4</v>
      </c>
      <c r="E11" s="1">
        <v>145.49</v>
      </c>
      <c r="F11" s="1" t="s">
        <v>2</v>
      </c>
      <c r="G11" s="1" t="s">
        <v>133</v>
      </c>
      <c r="L11" s="1">
        <f t="shared" si="1"/>
        <v>145.4</v>
      </c>
      <c r="M11" s="1" t="s">
        <v>407</v>
      </c>
      <c r="N11" s="1" t="s">
        <v>409</v>
      </c>
    </row>
    <row r="12" spans="1:14" x14ac:dyDescent="0.2">
      <c r="A12" s="1" t="s">
        <v>9</v>
      </c>
      <c r="B12" s="1" t="s">
        <v>84</v>
      </c>
      <c r="D12" s="1" t="str">
        <f t="shared" si="0"/>
        <v>MM145.4</v>
      </c>
      <c r="E12" s="1">
        <v>145.49</v>
      </c>
      <c r="F12" s="1" t="s">
        <v>133</v>
      </c>
      <c r="G12" s="1" t="s">
        <v>133</v>
      </c>
      <c r="L12" s="1">
        <f t="shared" si="1"/>
        <v>145.4</v>
      </c>
      <c r="M12" s="1" t="s">
        <v>407</v>
      </c>
      <c r="N12" s="1" t="s">
        <v>409</v>
      </c>
    </row>
    <row r="13" spans="1:14" x14ac:dyDescent="0.2">
      <c r="A13" s="1" t="s">
        <v>11</v>
      </c>
      <c r="B13" s="1" t="s">
        <v>84</v>
      </c>
      <c r="D13" s="1" t="str">
        <f t="shared" si="0"/>
        <v>MM145.6</v>
      </c>
      <c r="E13" s="1">
        <v>145.74</v>
      </c>
      <c r="F13" s="1" t="s">
        <v>133</v>
      </c>
      <c r="G13" s="1" t="s">
        <v>133</v>
      </c>
      <c r="L13" s="1">
        <f t="shared" si="1"/>
        <v>145.6</v>
      </c>
      <c r="M13" s="1" t="s">
        <v>407</v>
      </c>
      <c r="N13" s="1" t="s">
        <v>409</v>
      </c>
    </row>
    <row r="14" spans="1:14" x14ac:dyDescent="0.2">
      <c r="A14" s="1" t="s">
        <v>12</v>
      </c>
      <c r="B14" s="1" t="s">
        <v>85</v>
      </c>
      <c r="D14" s="1" t="str">
        <f t="shared" si="0"/>
        <v>MM145.8</v>
      </c>
      <c r="E14" s="1">
        <v>145.97</v>
      </c>
      <c r="F14" s="1" t="s">
        <v>133</v>
      </c>
      <c r="G14" s="1" t="s">
        <v>133</v>
      </c>
      <c r="L14" s="1">
        <f t="shared" si="1"/>
        <v>145.80000000000001</v>
      </c>
      <c r="M14" s="1" t="s">
        <v>407</v>
      </c>
      <c r="N14" s="1" t="s">
        <v>409</v>
      </c>
    </row>
    <row r="15" spans="1:14" x14ac:dyDescent="0.2">
      <c r="A15" s="1" t="s">
        <v>13</v>
      </c>
      <c r="B15" s="1" t="s">
        <v>85</v>
      </c>
      <c r="D15" s="1" t="str">
        <f t="shared" si="0"/>
        <v>MM146</v>
      </c>
      <c r="E15" s="1">
        <v>146.13999999999999</v>
      </c>
      <c r="F15" s="1" t="s">
        <v>133</v>
      </c>
      <c r="G15" s="1" t="s">
        <v>133</v>
      </c>
      <c r="L15" s="1">
        <f t="shared" si="1"/>
        <v>146</v>
      </c>
      <c r="M15" s="1" t="s">
        <v>407</v>
      </c>
      <c r="N15" s="1" t="s">
        <v>409</v>
      </c>
    </row>
    <row r="16" spans="1:14" x14ac:dyDescent="0.2">
      <c r="A16" s="1" t="s">
        <v>14</v>
      </c>
      <c r="B16" s="1" t="s">
        <v>86</v>
      </c>
      <c r="D16" s="1" t="str">
        <f t="shared" si="0"/>
        <v>MM146.4</v>
      </c>
      <c r="E16" s="1">
        <v>146.47999999999999</v>
      </c>
      <c r="F16" s="1" t="s">
        <v>133</v>
      </c>
      <c r="G16" s="1" t="s">
        <v>133</v>
      </c>
      <c r="L16" s="1">
        <f t="shared" si="1"/>
        <v>146.4</v>
      </c>
      <c r="M16" s="1" t="s">
        <v>407</v>
      </c>
      <c r="N16" s="1" t="s">
        <v>409</v>
      </c>
    </row>
    <row r="17" spans="1:14" x14ac:dyDescent="0.2">
      <c r="A17" s="1" t="s">
        <v>15</v>
      </c>
      <c r="B17" s="1" t="s">
        <v>83</v>
      </c>
      <c r="D17" s="1" t="str">
        <f t="shared" si="0"/>
        <v>MM151.2</v>
      </c>
      <c r="E17" s="1">
        <v>151.29</v>
      </c>
      <c r="F17" s="1" t="s">
        <v>133</v>
      </c>
      <c r="G17" s="1" t="s">
        <v>133</v>
      </c>
      <c r="L17" s="1">
        <f t="shared" si="1"/>
        <v>151.19999999999999</v>
      </c>
      <c r="M17" s="1" t="s">
        <v>407</v>
      </c>
      <c r="N17" s="1" t="s">
        <v>409</v>
      </c>
    </row>
    <row r="18" spans="1:14" x14ac:dyDescent="0.2">
      <c r="A18" s="1" t="s">
        <v>16</v>
      </c>
      <c r="B18" s="1" t="s">
        <v>83</v>
      </c>
      <c r="D18" s="1" t="str">
        <f t="shared" si="0"/>
        <v>MM151.4</v>
      </c>
      <c r="E18" s="1">
        <v>151.47</v>
      </c>
      <c r="F18" s="1" t="s">
        <v>133</v>
      </c>
      <c r="G18" s="1" t="s">
        <v>133</v>
      </c>
      <c r="L18" s="1">
        <f t="shared" si="1"/>
        <v>151.4</v>
      </c>
      <c r="M18" s="1" t="s">
        <v>407</v>
      </c>
      <c r="N18" s="1" t="s">
        <v>409</v>
      </c>
    </row>
    <row r="19" spans="1:14" x14ac:dyDescent="0.2">
      <c r="A19" s="1" t="s">
        <v>17</v>
      </c>
      <c r="B19" s="1" t="s">
        <v>83</v>
      </c>
      <c r="D19" s="1" t="str">
        <f t="shared" si="0"/>
        <v>MM151.6</v>
      </c>
      <c r="E19" s="1">
        <v>151.74</v>
      </c>
      <c r="F19" s="1" t="s">
        <v>133</v>
      </c>
      <c r="G19" s="1" t="s">
        <v>133</v>
      </c>
      <c r="L19" s="1">
        <f t="shared" si="1"/>
        <v>151.6</v>
      </c>
      <c r="M19" s="1" t="s">
        <v>407</v>
      </c>
      <c r="N19" s="1" t="s">
        <v>409</v>
      </c>
    </row>
    <row r="20" spans="1:14" x14ac:dyDescent="0.2">
      <c r="A20" s="1" t="s">
        <v>18</v>
      </c>
      <c r="B20" s="1" t="s">
        <v>85</v>
      </c>
      <c r="D20" s="1" t="str">
        <f t="shared" si="0"/>
        <v>MM151.6</v>
      </c>
      <c r="E20" s="1">
        <v>151.78</v>
      </c>
      <c r="F20" s="1" t="s">
        <v>133</v>
      </c>
      <c r="G20" s="1" t="s">
        <v>133</v>
      </c>
      <c r="L20" s="1">
        <f t="shared" si="1"/>
        <v>151.6</v>
      </c>
      <c r="M20" s="1" t="s">
        <v>407</v>
      </c>
      <c r="N20" s="1" t="s">
        <v>409</v>
      </c>
    </row>
    <row r="21" spans="1:14" ht="12.75" customHeight="1" x14ac:dyDescent="0.2">
      <c r="A21" s="1" t="s">
        <v>138</v>
      </c>
      <c r="B21" s="1" t="s">
        <v>87</v>
      </c>
      <c r="D21" s="1" t="str">
        <f t="shared" si="0"/>
        <v>MM151.8</v>
      </c>
      <c r="E21" s="1">
        <v>151.93</v>
      </c>
      <c r="F21" s="1" t="s">
        <v>2</v>
      </c>
      <c r="G21" s="1" t="s">
        <v>133</v>
      </c>
      <c r="L21" s="1">
        <f t="shared" si="1"/>
        <v>151.80000000000001</v>
      </c>
      <c r="M21" s="1" t="s">
        <v>407</v>
      </c>
      <c r="N21" s="1" t="s">
        <v>409</v>
      </c>
    </row>
    <row r="22" spans="1:14" x14ac:dyDescent="0.2">
      <c r="A22" s="1" t="s">
        <v>19</v>
      </c>
      <c r="B22" s="1" t="s">
        <v>86</v>
      </c>
      <c r="D22" s="1" t="str">
        <f t="shared" si="0"/>
        <v>MM151.8</v>
      </c>
      <c r="E22" s="1">
        <v>151.94999999999999</v>
      </c>
      <c r="F22" s="1" t="s">
        <v>133</v>
      </c>
      <c r="G22" s="1" t="s">
        <v>133</v>
      </c>
      <c r="L22" s="1">
        <f t="shared" si="1"/>
        <v>151.80000000000001</v>
      </c>
      <c r="M22" s="1" t="s">
        <v>407</v>
      </c>
      <c r="N22" s="1" t="s">
        <v>409</v>
      </c>
    </row>
    <row r="23" spans="1:14" x14ac:dyDescent="0.2">
      <c r="A23" s="1" t="s">
        <v>20</v>
      </c>
      <c r="B23" s="1" t="s">
        <v>88</v>
      </c>
      <c r="D23" s="1" t="str">
        <f t="shared" si="0"/>
        <v>MM152</v>
      </c>
      <c r="E23" s="1">
        <v>152.15</v>
      </c>
      <c r="F23" s="1" t="s">
        <v>133</v>
      </c>
      <c r="G23" s="1" t="s">
        <v>133</v>
      </c>
      <c r="L23" s="1">
        <f t="shared" si="1"/>
        <v>152</v>
      </c>
      <c r="M23" s="1" t="s">
        <v>407</v>
      </c>
      <c r="N23" s="1" t="s">
        <v>409</v>
      </c>
    </row>
    <row r="24" spans="1:14" ht="12.75" customHeight="1" x14ac:dyDescent="0.2">
      <c r="A24" s="1" t="s">
        <v>21</v>
      </c>
      <c r="B24" s="1" t="s">
        <v>89</v>
      </c>
      <c r="D24" s="1" t="str">
        <f t="shared" si="0"/>
        <v>MM152.2</v>
      </c>
      <c r="E24" s="1">
        <v>152.29</v>
      </c>
      <c r="F24" s="1" t="s">
        <v>2</v>
      </c>
      <c r="G24" s="1" t="s">
        <v>133</v>
      </c>
      <c r="L24" s="1">
        <f t="shared" si="1"/>
        <v>152.19999999999999</v>
      </c>
      <c r="M24" s="1" t="s">
        <v>407</v>
      </c>
      <c r="N24" s="1" t="s">
        <v>409</v>
      </c>
    </row>
    <row r="25" spans="1:14" x14ac:dyDescent="0.2">
      <c r="A25" s="1" t="s">
        <v>22</v>
      </c>
      <c r="B25" s="1" t="s">
        <v>84</v>
      </c>
      <c r="D25" s="1" t="str">
        <f t="shared" si="0"/>
        <v>MM152.4</v>
      </c>
      <c r="E25" s="1">
        <v>152.44</v>
      </c>
      <c r="F25" s="1" t="s">
        <v>133</v>
      </c>
      <c r="G25" s="1" t="s">
        <v>133</v>
      </c>
      <c r="L25" s="1">
        <f t="shared" si="1"/>
        <v>152.4</v>
      </c>
      <c r="M25" s="1" t="s">
        <v>407</v>
      </c>
      <c r="N25" s="1" t="s">
        <v>409</v>
      </c>
    </row>
    <row r="26" spans="1:14" x14ac:dyDescent="0.2">
      <c r="A26" s="1" t="s">
        <v>23</v>
      </c>
      <c r="B26" s="1" t="s">
        <v>85</v>
      </c>
      <c r="D26" s="1" t="str">
        <f t="shared" si="0"/>
        <v>MM152.6</v>
      </c>
      <c r="E26" s="1">
        <v>152.74</v>
      </c>
      <c r="F26" s="1" t="s">
        <v>133</v>
      </c>
      <c r="G26" s="1" t="s">
        <v>133</v>
      </c>
      <c r="L26" s="1">
        <f t="shared" si="1"/>
        <v>152.6</v>
      </c>
      <c r="M26" s="1" t="s">
        <v>407</v>
      </c>
      <c r="N26" s="1" t="s">
        <v>409</v>
      </c>
    </row>
    <row r="27" spans="1:14" x14ac:dyDescent="0.2">
      <c r="A27" s="1" t="s">
        <v>24</v>
      </c>
      <c r="B27" s="1" t="s">
        <v>91</v>
      </c>
      <c r="D27" s="1" t="str">
        <f t="shared" si="0"/>
        <v>MM154</v>
      </c>
      <c r="E27" s="1">
        <v>154.12</v>
      </c>
      <c r="F27" s="1" t="s">
        <v>2</v>
      </c>
      <c r="G27" s="1" t="s">
        <v>133</v>
      </c>
      <c r="L27" s="1">
        <f t="shared" si="1"/>
        <v>154</v>
      </c>
      <c r="M27" s="1" t="s">
        <v>407</v>
      </c>
      <c r="N27" s="1" t="s">
        <v>409</v>
      </c>
    </row>
    <row r="28" spans="1:14" x14ac:dyDescent="0.2">
      <c r="A28" s="1" t="s">
        <v>25</v>
      </c>
      <c r="B28" s="1" t="s">
        <v>92</v>
      </c>
      <c r="D28" s="1" t="str">
        <f t="shared" si="0"/>
        <v>MM154.4</v>
      </c>
      <c r="E28" s="1">
        <v>154.59</v>
      </c>
      <c r="F28" s="1" t="s">
        <v>133</v>
      </c>
      <c r="G28" s="1" t="s">
        <v>133</v>
      </c>
      <c r="L28" s="1">
        <f t="shared" si="1"/>
        <v>154.4</v>
      </c>
      <c r="M28" s="1" t="s">
        <v>407</v>
      </c>
      <c r="N28" s="1" t="s">
        <v>409</v>
      </c>
    </row>
    <row r="29" spans="1:14" ht="12.75" customHeight="1" x14ac:dyDescent="0.2">
      <c r="A29" s="1" t="s">
        <v>131</v>
      </c>
      <c r="B29" s="1" t="s">
        <v>93</v>
      </c>
      <c r="D29" s="1" t="str">
        <f t="shared" si="0"/>
        <v>MM155</v>
      </c>
      <c r="E29" s="1">
        <v>155</v>
      </c>
      <c r="F29" s="1" t="s">
        <v>2</v>
      </c>
      <c r="G29" s="1" t="s">
        <v>133</v>
      </c>
      <c r="L29" s="1">
        <f t="shared" si="1"/>
        <v>155</v>
      </c>
      <c r="M29" s="1" t="s">
        <v>407</v>
      </c>
      <c r="N29" s="1" t="s">
        <v>409</v>
      </c>
    </row>
    <row r="30" spans="1:14" x14ac:dyDescent="0.2">
      <c r="A30" s="1" t="s">
        <v>30</v>
      </c>
      <c r="B30" s="1" t="s">
        <v>94</v>
      </c>
      <c r="D30" s="1" t="str">
        <f t="shared" si="0"/>
        <v>MM155.2</v>
      </c>
      <c r="E30" s="1">
        <v>155.32</v>
      </c>
      <c r="F30" s="1" t="s">
        <v>133</v>
      </c>
      <c r="G30" s="1" t="s">
        <v>133</v>
      </c>
      <c r="L30" s="1">
        <f t="shared" si="1"/>
        <v>155.19999999999999</v>
      </c>
      <c r="M30" s="1" t="s">
        <v>407</v>
      </c>
      <c r="N30" s="1" t="s">
        <v>409</v>
      </c>
    </row>
    <row r="31" spans="1:14" x14ac:dyDescent="0.2">
      <c r="A31" s="1" t="s">
        <v>42</v>
      </c>
      <c r="B31" s="1" t="s">
        <v>95</v>
      </c>
      <c r="D31" s="1" t="str">
        <f t="shared" si="0"/>
        <v>MM155.4</v>
      </c>
      <c r="E31" s="1">
        <v>155.5</v>
      </c>
      <c r="F31" s="1" t="s">
        <v>133</v>
      </c>
      <c r="G31" s="1" t="s">
        <v>133</v>
      </c>
      <c r="L31" s="1">
        <f t="shared" si="1"/>
        <v>155.4</v>
      </c>
      <c r="M31" s="1" t="s">
        <v>407</v>
      </c>
      <c r="N31" s="1" t="s">
        <v>409</v>
      </c>
    </row>
    <row r="32" spans="1:14" x14ac:dyDescent="0.2">
      <c r="A32" s="1" t="s">
        <v>41</v>
      </c>
      <c r="B32" s="1" t="s">
        <v>84</v>
      </c>
      <c r="D32" s="1" t="str">
        <f t="shared" si="0"/>
        <v>MM155.8</v>
      </c>
      <c r="E32" s="1">
        <v>155.91999999999999</v>
      </c>
      <c r="F32" s="1" t="s">
        <v>133</v>
      </c>
      <c r="G32" s="1" t="s">
        <v>133</v>
      </c>
      <c r="L32" s="1">
        <f t="shared" si="1"/>
        <v>155.80000000000001</v>
      </c>
      <c r="M32" s="1" t="s">
        <v>407</v>
      </c>
      <c r="N32" s="1" t="s">
        <v>409</v>
      </c>
    </row>
    <row r="33" spans="1:14" x14ac:dyDescent="0.2">
      <c r="A33" s="1" t="s">
        <v>40</v>
      </c>
      <c r="B33" s="1" t="s">
        <v>96</v>
      </c>
      <c r="D33" s="1" t="str">
        <f t="shared" si="0"/>
        <v>MM156</v>
      </c>
      <c r="E33" s="1">
        <v>156.13999999999999</v>
      </c>
      <c r="F33" s="1" t="s">
        <v>133</v>
      </c>
      <c r="G33" s="1" t="s">
        <v>133</v>
      </c>
      <c r="L33" s="1">
        <f t="shared" si="1"/>
        <v>156</v>
      </c>
      <c r="M33" s="1" t="s">
        <v>407</v>
      </c>
      <c r="N33" s="1" t="s">
        <v>409</v>
      </c>
    </row>
    <row r="34" spans="1:14" x14ac:dyDescent="0.2">
      <c r="A34" s="1" t="s">
        <v>39</v>
      </c>
      <c r="B34" s="1" t="s">
        <v>84</v>
      </c>
      <c r="D34" s="1" t="str">
        <f t="shared" si="0"/>
        <v>MM156.2</v>
      </c>
      <c r="E34" s="1">
        <v>156.36000000000001</v>
      </c>
      <c r="F34" s="1" t="s">
        <v>133</v>
      </c>
      <c r="G34" s="1" t="s">
        <v>133</v>
      </c>
      <c r="L34" s="1">
        <f t="shared" si="1"/>
        <v>156.19999999999999</v>
      </c>
      <c r="M34" s="1" t="s">
        <v>407</v>
      </c>
      <c r="N34" s="1" t="s">
        <v>409</v>
      </c>
    </row>
    <row r="35" spans="1:14" ht="12.75" customHeight="1" x14ac:dyDescent="0.2">
      <c r="A35" s="1" t="s">
        <v>38</v>
      </c>
      <c r="B35" s="1" t="s">
        <v>97</v>
      </c>
      <c r="D35" s="1" t="str">
        <f t="shared" si="0"/>
        <v>MM156.6</v>
      </c>
      <c r="E35" s="1">
        <v>156.76</v>
      </c>
      <c r="F35" s="1" t="s">
        <v>2</v>
      </c>
      <c r="G35" s="1" t="s">
        <v>133</v>
      </c>
      <c r="L35" s="1">
        <f t="shared" si="1"/>
        <v>156.6</v>
      </c>
      <c r="M35" s="1" t="s">
        <v>407</v>
      </c>
      <c r="N35" s="1" t="s">
        <v>409</v>
      </c>
    </row>
    <row r="36" spans="1:14" x14ac:dyDescent="0.2">
      <c r="A36" s="1" t="s">
        <v>37</v>
      </c>
      <c r="B36" s="1" t="s">
        <v>98</v>
      </c>
      <c r="D36" s="1" t="str">
        <f t="shared" si="0"/>
        <v>MM156.8</v>
      </c>
      <c r="E36" s="1">
        <v>156.97999999999999</v>
      </c>
      <c r="F36" s="1" t="s">
        <v>133</v>
      </c>
      <c r="G36" s="1" t="s">
        <v>133</v>
      </c>
      <c r="L36" s="1">
        <f t="shared" si="1"/>
        <v>156.80000000000001</v>
      </c>
      <c r="M36" s="1" t="s">
        <v>407</v>
      </c>
      <c r="N36" s="1" t="s">
        <v>409</v>
      </c>
    </row>
    <row r="37" spans="1:14" x14ac:dyDescent="0.2">
      <c r="A37" s="1" t="s">
        <v>36</v>
      </c>
      <c r="B37" s="1" t="s">
        <v>92</v>
      </c>
      <c r="D37" s="1" t="str">
        <f t="shared" si="0"/>
        <v>MM157.2</v>
      </c>
      <c r="E37" s="1">
        <v>157.33000000000001</v>
      </c>
      <c r="F37" s="1" t="s">
        <v>133</v>
      </c>
      <c r="G37" s="1" t="s">
        <v>133</v>
      </c>
      <c r="L37" s="1">
        <f t="shared" si="1"/>
        <v>157.19999999999999</v>
      </c>
      <c r="M37" s="1" t="s">
        <v>407</v>
      </c>
      <c r="N37" s="1" t="s">
        <v>409</v>
      </c>
    </row>
    <row r="38" spans="1:14" ht="12.75" customHeight="1" x14ac:dyDescent="0.2">
      <c r="A38" s="1" t="s">
        <v>35</v>
      </c>
      <c r="B38" s="1" t="s">
        <v>99</v>
      </c>
      <c r="D38" s="1" t="str">
        <f t="shared" si="0"/>
        <v>MM157.4</v>
      </c>
      <c r="E38" s="1">
        <v>157.44999999999999</v>
      </c>
      <c r="F38" s="1" t="s">
        <v>2</v>
      </c>
      <c r="G38" s="1" t="s">
        <v>133</v>
      </c>
      <c r="L38" s="1">
        <f t="shared" si="1"/>
        <v>157.4</v>
      </c>
      <c r="M38" s="1" t="s">
        <v>407</v>
      </c>
      <c r="N38" s="1" t="s">
        <v>409</v>
      </c>
    </row>
    <row r="39" spans="1:14" x14ac:dyDescent="0.2">
      <c r="A39" s="1" t="s">
        <v>34</v>
      </c>
      <c r="B39" s="1" t="s">
        <v>90</v>
      </c>
      <c r="D39" s="1" t="str">
        <f t="shared" si="0"/>
        <v>MM157.4</v>
      </c>
      <c r="E39" s="1">
        <v>157.59</v>
      </c>
      <c r="F39" s="1" t="s">
        <v>133</v>
      </c>
      <c r="G39" s="1" t="s">
        <v>133</v>
      </c>
      <c r="L39" s="1">
        <f t="shared" si="1"/>
        <v>157.4</v>
      </c>
      <c r="M39" s="1" t="s">
        <v>407</v>
      </c>
      <c r="N39" s="1" t="s">
        <v>409</v>
      </c>
    </row>
    <row r="40" spans="1:14" ht="12.75" customHeight="1" x14ac:dyDescent="0.2">
      <c r="A40" s="1" t="s">
        <v>33</v>
      </c>
      <c r="B40" s="1" t="s">
        <v>100</v>
      </c>
      <c r="D40" s="1" t="str">
        <f t="shared" si="0"/>
        <v>MM157.6</v>
      </c>
      <c r="E40" s="1">
        <v>157.65</v>
      </c>
      <c r="F40" s="1" t="s">
        <v>2</v>
      </c>
      <c r="G40" s="1" t="s">
        <v>2</v>
      </c>
      <c r="L40" s="1">
        <f t="shared" si="1"/>
        <v>157.6</v>
      </c>
      <c r="M40" s="1" t="s">
        <v>407</v>
      </c>
      <c r="N40" s="1" t="s">
        <v>409</v>
      </c>
    </row>
    <row r="41" spans="1:14" x14ac:dyDescent="0.2">
      <c r="A41" s="1" t="s">
        <v>32</v>
      </c>
      <c r="B41" s="1" t="s">
        <v>96</v>
      </c>
      <c r="D41" s="1" t="str">
        <f t="shared" si="0"/>
        <v>MM157.8</v>
      </c>
      <c r="E41" s="1">
        <v>157.84</v>
      </c>
      <c r="F41" s="1" t="s">
        <v>133</v>
      </c>
      <c r="G41" s="1" t="s">
        <v>133</v>
      </c>
      <c r="L41" s="1">
        <f t="shared" si="1"/>
        <v>157.80000000000001</v>
      </c>
      <c r="M41" s="1" t="s">
        <v>407</v>
      </c>
      <c r="N41" s="1" t="s">
        <v>409</v>
      </c>
    </row>
    <row r="42" spans="1:14" x14ac:dyDescent="0.2">
      <c r="A42" s="1" t="s">
        <v>31</v>
      </c>
      <c r="B42" s="1" t="s">
        <v>92</v>
      </c>
      <c r="D42" s="1" t="str">
        <f t="shared" si="0"/>
        <v>MM157.8</v>
      </c>
      <c r="E42" s="1">
        <v>157.91999999999999</v>
      </c>
      <c r="F42" s="1" t="s">
        <v>133</v>
      </c>
      <c r="G42" s="1" t="s">
        <v>133</v>
      </c>
      <c r="L42" s="1">
        <f t="shared" si="1"/>
        <v>157.80000000000001</v>
      </c>
      <c r="M42" s="1" t="s">
        <v>407</v>
      </c>
      <c r="N42" s="1" t="s">
        <v>409</v>
      </c>
    </row>
    <row r="43" spans="1:14" ht="12.75" customHeight="1" x14ac:dyDescent="0.2">
      <c r="A43" s="1" t="s">
        <v>135</v>
      </c>
      <c r="B43" s="1" t="s">
        <v>101</v>
      </c>
      <c r="D43" s="1" t="str">
        <f t="shared" si="0"/>
        <v>MM158.2</v>
      </c>
      <c r="E43" s="1">
        <v>158.21</v>
      </c>
      <c r="F43" s="1" t="s">
        <v>133</v>
      </c>
      <c r="G43" s="1" t="s">
        <v>133</v>
      </c>
      <c r="L43" s="1">
        <f t="shared" si="1"/>
        <v>158.19999999999999</v>
      </c>
      <c r="M43" s="1" t="s">
        <v>407</v>
      </c>
      <c r="N43" s="1" t="s">
        <v>409</v>
      </c>
    </row>
    <row r="44" spans="1:14" x14ac:dyDescent="0.2">
      <c r="A44" s="1" t="s">
        <v>45</v>
      </c>
      <c r="B44" s="1" t="s">
        <v>84</v>
      </c>
      <c r="D44" s="1" t="str">
        <f t="shared" si="0"/>
        <v>MM158.2</v>
      </c>
      <c r="E44" s="1">
        <v>158.31</v>
      </c>
      <c r="F44" s="1" t="s">
        <v>133</v>
      </c>
      <c r="G44" s="1" t="s">
        <v>133</v>
      </c>
      <c r="L44" s="1">
        <f t="shared" si="1"/>
        <v>158.19999999999999</v>
      </c>
      <c r="M44" s="1" t="s">
        <v>407</v>
      </c>
      <c r="N44" s="1" t="s">
        <v>409</v>
      </c>
    </row>
    <row r="45" spans="1:14" x14ac:dyDescent="0.2">
      <c r="A45" s="1" t="s">
        <v>46</v>
      </c>
      <c r="B45" s="1" t="s">
        <v>94</v>
      </c>
      <c r="D45" s="1" t="str">
        <f t="shared" si="0"/>
        <v>MM158.2</v>
      </c>
      <c r="E45" s="1">
        <v>158.35</v>
      </c>
      <c r="F45" s="1" t="s">
        <v>133</v>
      </c>
      <c r="G45" s="1" t="s">
        <v>133</v>
      </c>
      <c r="L45" s="1">
        <f t="shared" si="1"/>
        <v>158.19999999999999</v>
      </c>
      <c r="M45" s="1" t="s">
        <v>407</v>
      </c>
      <c r="N45" s="1" t="s">
        <v>409</v>
      </c>
    </row>
    <row r="46" spans="1:14" ht="12.75" customHeight="1" x14ac:dyDescent="0.2">
      <c r="A46" s="1" t="s">
        <v>136</v>
      </c>
      <c r="B46" s="1" t="s">
        <v>102</v>
      </c>
      <c r="D46" s="1" t="str">
        <f t="shared" si="0"/>
        <v>MM158.4</v>
      </c>
      <c r="E46" s="1">
        <v>158.5</v>
      </c>
      <c r="F46" s="1" t="s">
        <v>133</v>
      </c>
      <c r="G46" s="1" t="s">
        <v>133</v>
      </c>
      <c r="L46" s="1">
        <f t="shared" si="1"/>
        <v>158.4</v>
      </c>
      <c r="M46" s="1" t="s">
        <v>407</v>
      </c>
      <c r="N46" s="1" t="s">
        <v>409</v>
      </c>
    </row>
    <row r="47" spans="1:14" ht="12.75" customHeight="1" x14ac:dyDescent="0.2">
      <c r="A47" s="1" t="s">
        <v>26</v>
      </c>
      <c r="B47" s="1" t="s">
        <v>103</v>
      </c>
      <c r="C47" s="1" t="s">
        <v>128</v>
      </c>
      <c r="D47" s="1" t="str">
        <f t="shared" si="0"/>
        <v>MM158.6</v>
      </c>
      <c r="E47" s="1">
        <v>158.6</v>
      </c>
      <c r="F47" s="1" t="s">
        <v>2</v>
      </c>
      <c r="G47" s="1" t="s">
        <v>133</v>
      </c>
      <c r="L47" s="1">
        <f t="shared" ref="L47" si="2">setMM(E47)</f>
        <v>158.6</v>
      </c>
      <c r="M47" s="1" t="s">
        <v>407</v>
      </c>
      <c r="N47" s="1" t="s">
        <v>409</v>
      </c>
    </row>
    <row r="48" spans="1:14" ht="12.75" customHeight="1" x14ac:dyDescent="0.2">
      <c r="A48" s="1" t="s">
        <v>27</v>
      </c>
      <c r="B48" s="1" t="s">
        <v>104</v>
      </c>
      <c r="C48" s="1" t="s">
        <v>128</v>
      </c>
      <c r="D48" s="1" t="str">
        <f t="shared" si="0"/>
        <v>MM158.6</v>
      </c>
      <c r="E48" s="1">
        <v>158.6</v>
      </c>
      <c r="F48" s="1" t="s">
        <v>133</v>
      </c>
      <c r="G48" s="1" t="s">
        <v>133</v>
      </c>
      <c r="L48" s="1">
        <f t="shared" ref="L48" si="3">setMM(E48)</f>
        <v>158.6</v>
      </c>
      <c r="M48" s="1" t="s">
        <v>407</v>
      </c>
      <c r="N48" s="1" t="s">
        <v>409</v>
      </c>
    </row>
    <row r="49" spans="1:14" ht="12.75" customHeight="1" x14ac:dyDescent="0.2">
      <c r="A49" s="1" t="s">
        <v>47</v>
      </c>
      <c r="B49" s="1" t="s">
        <v>105</v>
      </c>
      <c r="C49" s="1" t="s">
        <v>128</v>
      </c>
      <c r="D49" s="1" t="str">
        <f t="shared" si="0"/>
        <v>MM158.6</v>
      </c>
      <c r="E49" s="1">
        <v>158.6</v>
      </c>
      <c r="F49" s="1" t="s">
        <v>2</v>
      </c>
      <c r="G49" s="1" t="s">
        <v>2</v>
      </c>
      <c r="L49" s="1">
        <f t="shared" ref="L49" si="4">setMM(E49)</f>
        <v>158.6</v>
      </c>
      <c r="M49" s="1" t="s">
        <v>407</v>
      </c>
      <c r="N49" s="1" t="s">
        <v>409</v>
      </c>
    </row>
    <row r="50" spans="1:14" x14ac:dyDescent="0.2">
      <c r="A50" s="1" t="s">
        <v>28</v>
      </c>
      <c r="B50" s="1" t="s">
        <v>107</v>
      </c>
      <c r="C50" s="1" t="s">
        <v>127</v>
      </c>
      <c r="D50" s="1" t="str">
        <f t="shared" si="0"/>
        <v>MM158.6</v>
      </c>
      <c r="E50" s="1">
        <v>158.6</v>
      </c>
      <c r="F50" s="1" t="s">
        <v>133</v>
      </c>
      <c r="G50" s="1" t="s">
        <v>133</v>
      </c>
      <c r="L50" s="1">
        <f t="shared" ref="L50:L51" si="5">setMM(E50)</f>
        <v>158.6</v>
      </c>
      <c r="M50" s="1" t="s">
        <v>407</v>
      </c>
      <c r="N50" s="1" t="s">
        <v>409</v>
      </c>
    </row>
    <row r="51" spans="1:14" ht="12.75" customHeight="1" x14ac:dyDescent="0.2">
      <c r="A51" s="1" t="s">
        <v>29</v>
      </c>
      <c r="B51" s="1" t="s">
        <v>106</v>
      </c>
      <c r="C51" s="1" t="s">
        <v>127</v>
      </c>
      <c r="D51" s="1" t="str">
        <f t="shared" si="0"/>
        <v>MM158.6</v>
      </c>
      <c r="E51" s="1">
        <v>158.6</v>
      </c>
      <c r="F51" s="1" t="s">
        <v>2</v>
      </c>
      <c r="G51" s="1" t="s">
        <v>133</v>
      </c>
      <c r="L51" s="1">
        <f t="shared" si="5"/>
        <v>158.6</v>
      </c>
      <c r="M51" s="1" t="s">
        <v>407</v>
      </c>
      <c r="N51" s="1" t="s">
        <v>409</v>
      </c>
    </row>
    <row r="52" spans="1:14" x14ac:dyDescent="0.2">
      <c r="A52" s="1" t="s">
        <v>43</v>
      </c>
      <c r="B52" s="1" t="s">
        <v>96</v>
      </c>
      <c r="D52" s="1" t="str">
        <f t="shared" si="0"/>
        <v>MM158.8</v>
      </c>
      <c r="E52" s="1">
        <v>158.97</v>
      </c>
      <c r="F52" s="1" t="s">
        <v>133</v>
      </c>
      <c r="G52" s="1" t="s">
        <v>133</v>
      </c>
      <c r="L52" s="1">
        <f t="shared" ref="L52:L77" si="6">setMM(E52)</f>
        <v>158.80000000000001</v>
      </c>
      <c r="M52" s="1" t="s">
        <v>407</v>
      </c>
      <c r="N52" s="1" t="s">
        <v>409</v>
      </c>
    </row>
    <row r="53" spans="1:14" ht="12.75" customHeight="1" x14ac:dyDescent="0.2">
      <c r="A53" s="1" t="s">
        <v>44</v>
      </c>
      <c r="B53" s="1" t="s">
        <v>108</v>
      </c>
      <c r="C53" s="1" t="s">
        <v>127</v>
      </c>
      <c r="D53" s="1" t="str">
        <f t="shared" si="0"/>
        <v>MM158.6</v>
      </c>
      <c r="E53" s="1">
        <v>158.6</v>
      </c>
      <c r="F53" s="1" t="s">
        <v>133</v>
      </c>
      <c r="G53" s="1" t="s">
        <v>133</v>
      </c>
      <c r="L53" s="1">
        <f t="shared" si="6"/>
        <v>158.6</v>
      </c>
      <c r="M53" s="1" t="s">
        <v>407</v>
      </c>
      <c r="N53" s="1" t="s">
        <v>409</v>
      </c>
    </row>
    <row r="54" spans="1:14" x14ac:dyDescent="0.2">
      <c r="A54" s="1" t="s">
        <v>48</v>
      </c>
      <c r="B54" s="1" t="s">
        <v>84</v>
      </c>
      <c r="D54" s="1" t="str">
        <f t="shared" si="0"/>
        <v>MM159</v>
      </c>
      <c r="E54" s="1">
        <v>159.19</v>
      </c>
      <c r="F54" s="1" t="s">
        <v>133</v>
      </c>
      <c r="G54" s="1" t="s">
        <v>133</v>
      </c>
      <c r="L54" s="1">
        <f t="shared" si="6"/>
        <v>159</v>
      </c>
      <c r="M54" s="1" t="s">
        <v>407</v>
      </c>
      <c r="N54" s="1" t="s">
        <v>409</v>
      </c>
    </row>
    <row r="55" spans="1:14" x14ac:dyDescent="0.2">
      <c r="A55" s="1" t="s">
        <v>49</v>
      </c>
      <c r="B55" s="1" t="s">
        <v>113</v>
      </c>
      <c r="D55" s="1" t="str">
        <f t="shared" si="0"/>
        <v>MM159.4</v>
      </c>
      <c r="E55" s="1">
        <v>159.55000000000001</v>
      </c>
      <c r="F55" s="1" t="s">
        <v>133</v>
      </c>
      <c r="G55" s="1" t="s">
        <v>133</v>
      </c>
      <c r="L55" s="1">
        <f t="shared" si="6"/>
        <v>159.4</v>
      </c>
      <c r="M55" s="1" t="s">
        <v>407</v>
      </c>
      <c r="N55" s="1" t="s">
        <v>409</v>
      </c>
    </row>
    <row r="56" spans="1:14" x14ac:dyDescent="0.2">
      <c r="A56" s="1" t="s">
        <v>50</v>
      </c>
      <c r="B56" s="1" t="s">
        <v>109</v>
      </c>
      <c r="D56" s="1" t="str">
        <f t="shared" si="0"/>
        <v>MM159.8</v>
      </c>
      <c r="E56" s="1">
        <v>159.83000000000001</v>
      </c>
      <c r="F56" s="1" t="s">
        <v>133</v>
      </c>
      <c r="G56" s="1" t="s">
        <v>133</v>
      </c>
      <c r="L56" s="1">
        <f t="shared" si="6"/>
        <v>159.80000000000001</v>
      </c>
      <c r="M56" s="1" t="s">
        <v>407</v>
      </c>
      <c r="N56" s="1" t="s">
        <v>409</v>
      </c>
    </row>
    <row r="57" spans="1:14" x14ac:dyDescent="0.2">
      <c r="A57" s="1" t="s">
        <v>51</v>
      </c>
      <c r="B57" s="1" t="s">
        <v>110</v>
      </c>
      <c r="D57" s="1" t="str">
        <f t="shared" si="0"/>
        <v>MM160</v>
      </c>
      <c r="E57" s="1">
        <v>160.08000000000001</v>
      </c>
      <c r="F57" s="1" t="s">
        <v>133</v>
      </c>
      <c r="G57" s="1" t="s">
        <v>133</v>
      </c>
      <c r="L57" s="1">
        <f t="shared" si="6"/>
        <v>160</v>
      </c>
      <c r="M57" s="1" t="s">
        <v>407</v>
      </c>
      <c r="N57" s="1" t="s">
        <v>409</v>
      </c>
    </row>
    <row r="58" spans="1:14" x14ac:dyDescent="0.2">
      <c r="A58" s="1" t="s">
        <v>52</v>
      </c>
      <c r="B58" s="1" t="s">
        <v>110</v>
      </c>
      <c r="D58" s="1" t="str">
        <f t="shared" si="0"/>
        <v>MM160.4</v>
      </c>
      <c r="E58" s="1">
        <v>160.55000000000001</v>
      </c>
      <c r="F58" s="1" t="s">
        <v>133</v>
      </c>
      <c r="G58" s="1" t="s">
        <v>133</v>
      </c>
      <c r="L58" s="1">
        <f t="shared" si="6"/>
        <v>160.4</v>
      </c>
      <c r="M58" s="1" t="s">
        <v>407</v>
      </c>
      <c r="N58" s="1" t="s">
        <v>409</v>
      </c>
    </row>
    <row r="59" spans="1:14" x14ac:dyDescent="0.2">
      <c r="A59" s="1" t="s">
        <v>53</v>
      </c>
      <c r="B59" s="1" t="s">
        <v>92</v>
      </c>
      <c r="C59" s="1" t="s">
        <v>129</v>
      </c>
      <c r="D59" s="1" t="str">
        <f t="shared" si="0"/>
        <v>MM160.6</v>
      </c>
      <c r="E59" s="1">
        <v>160.6</v>
      </c>
      <c r="F59" s="1" t="s">
        <v>133</v>
      </c>
      <c r="G59" s="1" t="s">
        <v>133</v>
      </c>
      <c r="L59" s="1">
        <f t="shared" si="6"/>
        <v>160.6</v>
      </c>
      <c r="M59" s="1" t="s">
        <v>407</v>
      </c>
      <c r="N59" s="1" t="s">
        <v>409</v>
      </c>
    </row>
    <row r="60" spans="1:14" x14ac:dyDescent="0.2">
      <c r="A60" s="1" t="s">
        <v>54</v>
      </c>
      <c r="B60" s="1" t="s">
        <v>107</v>
      </c>
      <c r="C60" s="1" t="s">
        <v>129</v>
      </c>
      <c r="D60" s="1" t="str">
        <f t="shared" si="0"/>
        <v>MM160.6</v>
      </c>
      <c r="E60" s="1">
        <v>160.6</v>
      </c>
      <c r="F60" s="1" t="s">
        <v>133</v>
      </c>
      <c r="G60" s="1" t="s">
        <v>133</v>
      </c>
      <c r="L60" s="1">
        <f t="shared" si="6"/>
        <v>160.6</v>
      </c>
      <c r="M60" s="1" t="s">
        <v>407</v>
      </c>
      <c r="N60" s="1" t="s">
        <v>409</v>
      </c>
    </row>
    <row r="61" spans="1:14" x14ac:dyDescent="0.2">
      <c r="A61" s="1" t="s">
        <v>55</v>
      </c>
      <c r="B61" s="1" t="s">
        <v>107</v>
      </c>
      <c r="C61" s="1" t="s">
        <v>129</v>
      </c>
      <c r="D61" s="1" t="str">
        <f t="shared" si="0"/>
        <v>MM160.6</v>
      </c>
      <c r="E61" s="1">
        <v>160.6</v>
      </c>
      <c r="F61" s="1" t="s">
        <v>133</v>
      </c>
      <c r="G61" s="1" t="s">
        <v>133</v>
      </c>
      <c r="L61" s="1">
        <f t="shared" si="6"/>
        <v>160.6</v>
      </c>
      <c r="M61" s="1" t="s">
        <v>407</v>
      </c>
      <c r="N61" s="1" t="s">
        <v>409</v>
      </c>
    </row>
    <row r="62" spans="1:14" x14ac:dyDescent="0.2">
      <c r="A62" s="1" t="s">
        <v>56</v>
      </c>
      <c r="B62" s="1" t="s">
        <v>111</v>
      </c>
      <c r="C62" s="1" t="s">
        <v>129</v>
      </c>
      <c r="D62" s="1" t="str">
        <f t="shared" si="0"/>
        <v>MM160.6</v>
      </c>
      <c r="E62" s="1">
        <v>160.6</v>
      </c>
      <c r="F62" s="1" t="s">
        <v>133</v>
      </c>
      <c r="G62" s="1" t="s">
        <v>133</v>
      </c>
      <c r="L62" s="1">
        <f t="shared" si="6"/>
        <v>160.6</v>
      </c>
      <c r="M62" s="1" t="s">
        <v>407</v>
      </c>
      <c r="N62" s="1" t="s">
        <v>409</v>
      </c>
    </row>
    <row r="63" spans="1:14" x14ac:dyDescent="0.2">
      <c r="A63" s="1" t="s">
        <v>57</v>
      </c>
      <c r="B63" s="1" t="s">
        <v>112</v>
      </c>
      <c r="D63" s="1" t="str">
        <f t="shared" si="0"/>
        <v>MM161</v>
      </c>
      <c r="E63" s="1">
        <v>161.07</v>
      </c>
      <c r="F63" s="1" t="s">
        <v>133</v>
      </c>
      <c r="G63" s="1" t="s">
        <v>133</v>
      </c>
      <c r="L63" s="1">
        <f t="shared" si="6"/>
        <v>161</v>
      </c>
      <c r="M63" s="1" t="s">
        <v>407</v>
      </c>
      <c r="N63" s="1" t="s">
        <v>409</v>
      </c>
    </row>
    <row r="64" spans="1:14" ht="12.75" customHeight="1" x14ac:dyDescent="0.2">
      <c r="A64" s="1" t="s">
        <v>137</v>
      </c>
      <c r="B64" s="1" t="s">
        <v>114</v>
      </c>
      <c r="D64" s="1" t="str">
        <f t="shared" si="0"/>
        <v>MM161.4</v>
      </c>
      <c r="E64" s="1">
        <v>161.54</v>
      </c>
      <c r="F64" s="1" t="s">
        <v>2</v>
      </c>
      <c r="G64" s="1" t="s">
        <v>133</v>
      </c>
      <c r="L64" s="1">
        <f t="shared" si="6"/>
        <v>161.4</v>
      </c>
      <c r="M64" s="1" t="s">
        <v>407</v>
      </c>
      <c r="N64" s="1" t="s">
        <v>409</v>
      </c>
    </row>
    <row r="65" spans="1:14" ht="12.75" customHeight="1" x14ac:dyDescent="0.2">
      <c r="A65" s="1" t="s">
        <v>58</v>
      </c>
      <c r="B65" s="1" t="s">
        <v>115</v>
      </c>
      <c r="D65" s="1" t="str">
        <f t="shared" si="0"/>
        <v>MM162</v>
      </c>
      <c r="E65" s="1">
        <v>162.03</v>
      </c>
      <c r="F65" s="1" t="s">
        <v>2</v>
      </c>
      <c r="G65" s="1" t="s">
        <v>133</v>
      </c>
      <c r="L65" s="1">
        <f t="shared" si="6"/>
        <v>162</v>
      </c>
      <c r="M65" s="1" t="s">
        <v>407</v>
      </c>
      <c r="N65" s="1" t="s">
        <v>409</v>
      </c>
    </row>
    <row r="66" spans="1:14" x14ac:dyDescent="0.2">
      <c r="A66" s="1" t="s">
        <v>59</v>
      </c>
      <c r="B66" s="1" t="s">
        <v>84</v>
      </c>
      <c r="D66" s="1" t="str">
        <f t="shared" si="0"/>
        <v>MM162</v>
      </c>
      <c r="E66" s="1">
        <v>162.04</v>
      </c>
      <c r="F66" s="1" t="s">
        <v>133</v>
      </c>
      <c r="G66" s="1" t="s">
        <v>133</v>
      </c>
      <c r="L66" s="1">
        <f t="shared" si="6"/>
        <v>162</v>
      </c>
      <c r="M66" s="1" t="s">
        <v>407</v>
      </c>
      <c r="N66" s="1" t="s">
        <v>409</v>
      </c>
    </row>
    <row r="67" spans="1:14" x14ac:dyDescent="0.2">
      <c r="A67" s="1" t="s">
        <v>60</v>
      </c>
      <c r="B67" s="1" t="s">
        <v>95</v>
      </c>
      <c r="D67" s="1" t="str">
        <f t="shared" si="0"/>
        <v>MM162.2</v>
      </c>
      <c r="E67" s="1">
        <v>162.22999999999999</v>
      </c>
      <c r="F67" s="1" t="s">
        <v>133</v>
      </c>
      <c r="G67" s="1" t="s">
        <v>133</v>
      </c>
      <c r="L67" s="1">
        <f t="shared" si="6"/>
        <v>162.19999999999999</v>
      </c>
      <c r="M67" s="1" t="s">
        <v>407</v>
      </c>
      <c r="N67" s="1" t="s">
        <v>409</v>
      </c>
    </row>
    <row r="68" spans="1:14" x14ac:dyDescent="0.2">
      <c r="A68" s="1" t="s">
        <v>61</v>
      </c>
      <c r="B68" s="1" t="s">
        <v>92</v>
      </c>
      <c r="C68" s="1" t="s">
        <v>130</v>
      </c>
      <c r="D68" s="1" t="str">
        <f t="shared" si="0"/>
        <v>MM162</v>
      </c>
      <c r="E68" s="1">
        <v>162</v>
      </c>
      <c r="F68" s="1" t="s">
        <v>133</v>
      </c>
      <c r="G68" s="1" t="s">
        <v>133</v>
      </c>
      <c r="L68" s="1">
        <f t="shared" ref="L68:L69" si="7">setMM(E68)</f>
        <v>162</v>
      </c>
      <c r="M68" s="1" t="s">
        <v>407</v>
      </c>
      <c r="N68" s="1" t="s">
        <v>409</v>
      </c>
    </row>
    <row r="69" spans="1:14" ht="12.75" customHeight="1" x14ac:dyDescent="0.2">
      <c r="A69" s="1" t="s">
        <v>62</v>
      </c>
      <c r="B69" s="1" t="s">
        <v>116</v>
      </c>
      <c r="C69" s="1" t="s">
        <v>130</v>
      </c>
      <c r="D69" s="1" t="str">
        <f t="shared" ref="D69:D86" si="8">"MM" &amp; L69</f>
        <v>MM162</v>
      </c>
      <c r="E69" s="1">
        <v>162</v>
      </c>
      <c r="F69" s="1" t="s">
        <v>2</v>
      </c>
      <c r="G69" s="1" t="s">
        <v>133</v>
      </c>
      <c r="L69" s="1">
        <f t="shared" si="7"/>
        <v>162</v>
      </c>
      <c r="M69" s="1" t="s">
        <v>407</v>
      </c>
      <c r="N69" s="1" t="s">
        <v>409</v>
      </c>
    </row>
    <row r="70" spans="1:14" ht="12.75" customHeight="1" x14ac:dyDescent="0.2">
      <c r="A70" s="1" t="s">
        <v>63</v>
      </c>
      <c r="B70" s="1" t="s">
        <v>117</v>
      </c>
      <c r="D70" s="1" t="str">
        <f t="shared" si="8"/>
        <v>MM162.4</v>
      </c>
      <c r="E70" s="1">
        <v>162.47</v>
      </c>
      <c r="F70" s="1" t="s">
        <v>2</v>
      </c>
      <c r="G70" s="1" t="s">
        <v>133</v>
      </c>
      <c r="L70" s="1">
        <f t="shared" si="6"/>
        <v>162.4</v>
      </c>
      <c r="M70" s="1" t="s">
        <v>407</v>
      </c>
      <c r="N70" s="1" t="s">
        <v>409</v>
      </c>
    </row>
    <row r="71" spans="1:14" ht="12.75" customHeight="1" x14ac:dyDescent="0.2">
      <c r="A71" s="1" t="s">
        <v>64</v>
      </c>
      <c r="B71" s="1" t="s">
        <v>118</v>
      </c>
      <c r="D71" s="1" t="str">
        <f t="shared" si="8"/>
        <v>MM162.6</v>
      </c>
      <c r="E71" s="1">
        <v>162.69</v>
      </c>
      <c r="F71" s="1" t="s">
        <v>2</v>
      </c>
      <c r="G71" s="1" t="s">
        <v>133</v>
      </c>
      <c r="L71" s="1">
        <f t="shared" si="6"/>
        <v>162.6</v>
      </c>
      <c r="M71" s="1" t="s">
        <v>407</v>
      </c>
      <c r="N71" s="1" t="s">
        <v>409</v>
      </c>
    </row>
    <row r="72" spans="1:14" ht="12.75" customHeight="1" x14ac:dyDescent="0.2">
      <c r="A72" s="1" t="s">
        <v>65</v>
      </c>
      <c r="B72" s="1" t="s">
        <v>119</v>
      </c>
      <c r="D72" s="1" t="str">
        <f t="shared" si="8"/>
        <v>MM162.8</v>
      </c>
      <c r="E72" s="1">
        <v>162.94999999999999</v>
      </c>
      <c r="F72" s="1" t="s">
        <v>2</v>
      </c>
      <c r="G72" s="1" t="s">
        <v>133</v>
      </c>
      <c r="L72" s="1">
        <f t="shared" si="6"/>
        <v>162.80000000000001</v>
      </c>
      <c r="M72" s="1" t="s">
        <v>407</v>
      </c>
      <c r="N72" s="1" t="s">
        <v>409</v>
      </c>
    </row>
    <row r="73" spans="1:14" ht="12.75" customHeight="1" x14ac:dyDescent="0.2">
      <c r="A73" s="1" t="s">
        <v>66</v>
      </c>
      <c r="B73" s="1" t="s">
        <v>120</v>
      </c>
      <c r="D73" s="1" t="str">
        <f t="shared" si="8"/>
        <v>MM163</v>
      </c>
      <c r="E73" s="1">
        <v>163.13</v>
      </c>
      <c r="F73" s="1" t="s">
        <v>2</v>
      </c>
      <c r="G73" s="1" t="s">
        <v>133</v>
      </c>
      <c r="L73" s="1">
        <f t="shared" si="6"/>
        <v>163</v>
      </c>
      <c r="M73" s="1" t="s">
        <v>407</v>
      </c>
      <c r="N73" s="1" t="s">
        <v>409</v>
      </c>
    </row>
    <row r="74" spans="1:14" x14ac:dyDescent="0.2">
      <c r="A74" s="1" t="s">
        <v>67</v>
      </c>
      <c r="B74" s="1" t="s">
        <v>90</v>
      </c>
      <c r="D74" s="1" t="str">
        <f t="shared" si="8"/>
        <v>MM164.4</v>
      </c>
      <c r="E74" s="1">
        <v>164.55</v>
      </c>
      <c r="F74" s="1" t="s">
        <v>133</v>
      </c>
      <c r="G74" s="1" t="s">
        <v>133</v>
      </c>
      <c r="L74" s="1">
        <f t="shared" si="6"/>
        <v>164.4</v>
      </c>
      <c r="M74" s="1" t="s">
        <v>407</v>
      </c>
      <c r="N74" s="1" t="s">
        <v>409</v>
      </c>
    </row>
    <row r="75" spans="1:14" x14ac:dyDescent="0.2">
      <c r="A75" s="1" t="s">
        <v>68</v>
      </c>
      <c r="B75" s="1" t="s">
        <v>90</v>
      </c>
      <c r="D75" s="1" t="str">
        <f t="shared" si="8"/>
        <v>MM164.8</v>
      </c>
      <c r="E75" s="1">
        <v>164.8</v>
      </c>
      <c r="F75" s="1" t="s">
        <v>133</v>
      </c>
      <c r="G75" s="1" t="s">
        <v>133</v>
      </c>
      <c r="L75" s="1">
        <f t="shared" si="6"/>
        <v>164.8</v>
      </c>
      <c r="M75" s="1" t="s">
        <v>407</v>
      </c>
      <c r="N75" s="1" t="s">
        <v>409</v>
      </c>
    </row>
    <row r="76" spans="1:14" x14ac:dyDescent="0.2">
      <c r="A76" s="1" t="s">
        <v>69</v>
      </c>
      <c r="B76" s="1" t="s">
        <v>90</v>
      </c>
      <c r="D76" s="1" t="str">
        <f t="shared" si="8"/>
        <v>MM165</v>
      </c>
      <c r="E76" s="1">
        <v>165.05</v>
      </c>
      <c r="F76" s="1" t="s">
        <v>133</v>
      </c>
      <c r="G76" s="1" t="s">
        <v>133</v>
      </c>
      <c r="L76" s="1">
        <f t="shared" si="6"/>
        <v>165</v>
      </c>
      <c r="M76" s="1" t="s">
        <v>407</v>
      </c>
      <c r="N76" s="1" t="s">
        <v>409</v>
      </c>
    </row>
    <row r="77" spans="1:14" x14ac:dyDescent="0.2">
      <c r="A77" s="1" t="s">
        <v>70</v>
      </c>
      <c r="B77" s="1" t="s">
        <v>90</v>
      </c>
      <c r="D77" s="1" t="str">
        <f t="shared" si="8"/>
        <v>MM165.2</v>
      </c>
      <c r="E77" s="1">
        <v>165.32</v>
      </c>
      <c r="F77" s="1" t="s">
        <v>133</v>
      </c>
      <c r="G77" s="1" t="s">
        <v>133</v>
      </c>
      <c r="L77" s="1">
        <f t="shared" si="6"/>
        <v>165.2</v>
      </c>
      <c r="M77" s="1" t="s">
        <v>407</v>
      </c>
      <c r="N77" s="1" t="s">
        <v>409</v>
      </c>
    </row>
    <row r="78" spans="1:14" ht="12.75" customHeight="1" x14ac:dyDescent="0.2">
      <c r="A78" s="1" t="s">
        <v>71</v>
      </c>
      <c r="B78" s="1" t="s">
        <v>121</v>
      </c>
      <c r="D78" s="1" t="str">
        <f t="shared" si="8"/>
        <v>MM165.6</v>
      </c>
      <c r="E78" s="1">
        <v>165.66</v>
      </c>
      <c r="F78" s="1" t="s">
        <v>2</v>
      </c>
      <c r="G78" s="1" t="s">
        <v>133</v>
      </c>
      <c r="L78" s="1">
        <f t="shared" ref="L78:L86" si="9">setMM(E78)</f>
        <v>165.6</v>
      </c>
      <c r="M78" s="1" t="s">
        <v>407</v>
      </c>
      <c r="N78" s="1" t="s">
        <v>409</v>
      </c>
    </row>
    <row r="79" spans="1:14" x14ac:dyDescent="0.2">
      <c r="A79" s="1" t="s">
        <v>72</v>
      </c>
      <c r="B79" s="1" t="s">
        <v>122</v>
      </c>
      <c r="D79" s="1" t="str">
        <f t="shared" si="8"/>
        <v>MM165.8</v>
      </c>
      <c r="E79" s="1">
        <v>165.8</v>
      </c>
      <c r="F79" s="1" t="s">
        <v>133</v>
      </c>
      <c r="G79" s="1" t="s">
        <v>133</v>
      </c>
      <c r="L79" s="1">
        <f t="shared" si="9"/>
        <v>165.8</v>
      </c>
      <c r="M79" s="1" t="s">
        <v>407</v>
      </c>
      <c r="N79" s="1" t="s">
        <v>409</v>
      </c>
    </row>
    <row r="80" spans="1:14" ht="12.75" customHeight="1" x14ac:dyDescent="0.2">
      <c r="A80" s="1" t="s">
        <v>73</v>
      </c>
      <c r="B80" s="1" t="s">
        <v>123</v>
      </c>
      <c r="D80" s="1" t="str">
        <f t="shared" si="8"/>
        <v>MM165.8</v>
      </c>
      <c r="E80" s="1">
        <v>165.98</v>
      </c>
      <c r="F80" s="1" t="s">
        <v>2</v>
      </c>
      <c r="G80" s="1" t="s">
        <v>133</v>
      </c>
      <c r="L80" s="1">
        <f t="shared" si="9"/>
        <v>165.8</v>
      </c>
      <c r="M80" s="1" t="s">
        <v>407</v>
      </c>
      <c r="N80" s="1" t="s">
        <v>409</v>
      </c>
    </row>
    <row r="81" spans="1:14" x14ac:dyDescent="0.2">
      <c r="A81" s="1" t="s">
        <v>74</v>
      </c>
      <c r="B81" s="1" t="s">
        <v>124</v>
      </c>
      <c r="D81" s="1" t="str">
        <f t="shared" si="8"/>
        <v>MM166</v>
      </c>
      <c r="E81" s="1">
        <v>166.01</v>
      </c>
      <c r="F81" s="1" t="s">
        <v>133</v>
      </c>
      <c r="G81" s="1" t="s">
        <v>133</v>
      </c>
      <c r="L81" s="1">
        <f t="shared" si="9"/>
        <v>166</v>
      </c>
      <c r="M81" s="1" t="s">
        <v>407</v>
      </c>
      <c r="N81" s="1" t="s">
        <v>409</v>
      </c>
    </row>
    <row r="82" spans="1:14" x14ac:dyDescent="0.2">
      <c r="A82" s="1" t="s">
        <v>75</v>
      </c>
      <c r="B82" s="1" t="s">
        <v>126</v>
      </c>
      <c r="D82" s="1" t="str">
        <f t="shared" si="8"/>
        <v>MM166.2</v>
      </c>
      <c r="E82" s="1">
        <v>166.28</v>
      </c>
      <c r="F82" s="1" t="s">
        <v>133</v>
      </c>
      <c r="G82" s="1" t="s">
        <v>133</v>
      </c>
      <c r="L82" s="1">
        <f t="shared" si="9"/>
        <v>166.2</v>
      </c>
      <c r="M82" s="1" t="s">
        <v>407</v>
      </c>
      <c r="N82" s="1" t="s">
        <v>409</v>
      </c>
    </row>
    <row r="83" spans="1:14" x14ac:dyDescent="0.2">
      <c r="A83" s="1" t="s">
        <v>76</v>
      </c>
      <c r="B83" s="1" t="s">
        <v>125</v>
      </c>
      <c r="D83" s="1" t="str">
        <f t="shared" si="8"/>
        <v>MM166.4</v>
      </c>
      <c r="E83" s="1">
        <v>166.43</v>
      </c>
      <c r="F83" s="1" t="s">
        <v>133</v>
      </c>
      <c r="G83" s="1" t="s">
        <v>133</v>
      </c>
      <c r="L83" s="1">
        <f t="shared" si="9"/>
        <v>166.4</v>
      </c>
      <c r="M83" s="1" t="s">
        <v>407</v>
      </c>
      <c r="N83" s="1" t="s">
        <v>409</v>
      </c>
    </row>
    <row r="84" spans="1:14" x14ac:dyDescent="0.2">
      <c r="A84" s="1" t="s">
        <v>77</v>
      </c>
      <c r="B84" s="1" t="s">
        <v>92</v>
      </c>
      <c r="D84" s="1" t="str">
        <f t="shared" si="8"/>
        <v>MM166.6</v>
      </c>
      <c r="E84" s="1">
        <v>166.65</v>
      </c>
      <c r="F84" s="1" t="s">
        <v>133</v>
      </c>
      <c r="G84" s="1" t="s">
        <v>133</v>
      </c>
      <c r="L84" s="1">
        <f t="shared" si="9"/>
        <v>166.6</v>
      </c>
      <c r="M84" s="1" t="s">
        <v>407</v>
      </c>
      <c r="N84" s="1" t="s">
        <v>409</v>
      </c>
    </row>
    <row r="85" spans="1:14" x14ac:dyDescent="0.2">
      <c r="A85" s="1" t="s">
        <v>78</v>
      </c>
      <c r="B85" s="1" t="s">
        <v>124</v>
      </c>
      <c r="D85" s="1" t="str">
        <f t="shared" si="8"/>
        <v>MM166.6</v>
      </c>
      <c r="E85" s="1">
        <v>166.77</v>
      </c>
      <c r="F85" s="1" t="s">
        <v>133</v>
      </c>
      <c r="G85" s="1" t="s">
        <v>133</v>
      </c>
      <c r="L85" s="1">
        <f t="shared" si="9"/>
        <v>166.6</v>
      </c>
      <c r="M85" s="1" t="s">
        <v>407</v>
      </c>
      <c r="N85" s="1" t="s">
        <v>409</v>
      </c>
    </row>
    <row r="86" spans="1:14" x14ac:dyDescent="0.2">
      <c r="A86" s="1" t="s">
        <v>79</v>
      </c>
      <c r="B86" s="1" t="s">
        <v>92</v>
      </c>
      <c r="D86" s="1" t="str">
        <f t="shared" si="8"/>
        <v>MM166.8</v>
      </c>
      <c r="E86" s="1">
        <v>166.92</v>
      </c>
      <c r="F86" s="1" t="s">
        <v>133</v>
      </c>
      <c r="G86" s="1" t="s">
        <v>133</v>
      </c>
      <c r="L86" s="1">
        <f t="shared" si="9"/>
        <v>166.8</v>
      </c>
      <c r="M86" s="1" t="s">
        <v>407</v>
      </c>
      <c r="N86" s="1" t="s">
        <v>409</v>
      </c>
    </row>
  </sheetData>
  <dataValidations count="1">
    <dataValidation type="list" allowBlank="1" showInputMessage="1" showErrorMessage="1" sqref="F1:G1 F87:G1048576">
      <formula1>#REF!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7"/>
  <sheetViews>
    <sheetView workbookViewId="0">
      <selection activeCell="D29" sqref="D29"/>
    </sheetView>
  </sheetViews>
  <sheetFormatPr defaultRowHeight="11.25" x14ac:dyDescent="0.25"/>
  <cols>
    <col min="1" max="1" width="30" style="2" bestFit="1" customWidth="1"/>
    <col min="2" max="2" width="12.42578125" style="2" bestFit="1" customWidth="1"/>
    <col min="3" max="3" width="54" style="2" bestFit="1" customWidth="1"/>
    <col min="4" max="4" width="54" style="2" customWidth="1"/>
    <col min="5" max="5" width="12.140625" style="2" bestFit="1" customWidth="1"/>
    <col min="6" max="6" width="9.140625" style="2" bestFit="1" customWidth="1"/>
    <col min="7" max="7" width="5.7109375" style="6" bestFit="1" customWidth="1"/>
    <col min="8" max="8" width="12" style="2" bestFit="1" customWidth="1"/>
    <col min="9" max="9" width="27.28515625" style="2" bestFit="1" customWidth="1"/>
    <col min="10" max="10" width="14.42578125" style="2" bestFit="1" customWidth="1"/>
    <col min="11" max="11" width="27.42578125" style="2" bestFit="1" customWidth="1"/>
    <col min="12" max="16384" width="9.140625" style="2"/>
  </cols>
  <sheetData>
    <row r="1" spans="1:11" x14ac:dyDescent="0.2">
      <c r="A1" s="1" t="s">
        <v>414</v>
      </c>
      <c r="B1" s="1" t="s">
        <v>411</v>
      </c>
      <c r="C1" s="1" t="s">
        <v>139</v>
      </c>
      <c r="D1" s="1" t="s">
        <v>415</v>
      </c>
      <c r="E1" s="1" t="s">
        <v>140</v>
      </c>
      <c r="F1" s="1" t="s">
        <v>80</v>
      </c>
      <c r="G1" s="1" t="s">
        <v>231</v>
      </c>
      <c r="H1" s="1" t="s">
        <v>429</v>
      </c>
      <c r="I1" s="1" t="s">
        <v>141</v>
      </c>
      <c r="J1" s="1" t="s">
        <v>421</v>
      </c>
      <c r="K1" s="1" t="s">
        <v>422</v>
      </c>
    </row>
    <row r="2" spans="1:11" x14ac:dyDescent="0.2">
      <c r="A2" s="1" t="s">
        <v>142</v>
      </c>
      <c r="B2" s="1" t="s">
        <v>205</v>
      </c>
      <c r="C2" s="1" t="s">
        <v>143</v>
      </c>
      <c r="D2" s="1" t="str">
        <f>C2 &amp; CHAR(10) &amp; CHAR(13) &amp; I2</f>
        <v>95 Express Lanes over Aquia Creek
_x000D_New - Simple Span, Steel Girders</v>
      </c>
      <c r="E2" s="1">
        <v>100</v>
      </c>
      <c r="F2" s="1">
        <v>145.38999999999999</v>
      </c>
      <c r="G2" s="1">
        <v>145.19999999999999</v>
      </c>
      <c r="H2" s="1" t="s">
        <v>243</v>
      </c>
      <c r="I2" s="1" t="s">
        <v>144</v>
      </c>
      <c r="J2" s="1" t="s">
        <v>132</v>
      </c>
      <c r="K2" s="1" t="s">
        <v>408</v>
      </c>
    </row>
    <row r="3" spans="1:11" x14ac:dyDescent="0.2">
      <c r="A3" s="1" t="s">
        <v>145</v>
      </c>
      <c r="B3" s="1" t="s">
        <v>206</v>
      </c>
      <c r="C3" s="1" t="s">
        <v>146</v>
      </c>
      <c r="D3" s="1" t="str">
        <f t="shared" ref="D3:D27" si="0">C3 &amp; CHAR(10) &amp; CHAR(13) &amp; I3</f>
        <v>95 Express Lanes over Chopawamsic Creek
_x000D_New - Simple Span, Steel Girders</v>
      </c>
      <c r="E3" s="1">
        <v>242</v>
      </c>
      <c r="F3" s="1">
        <v>148.08000000000001</v>
      </c>
      <c r="G3" s="1">
        <v>148</v>
      </c>
      <c r="H3" s="1" t="s">
        <v>243</v>
      </c>
      <c r="I3" s="1" t="s">
        <v>144</v>
      </c>
      <c r="J3" s="1" t="s">
        <v>132</v>
      </c>
      <c r="K3" s="1" t="s">
        <v>408</v>
      </c>
    </row>
    <row r="4" spans="1:11" x14ac:dyDescent="0.2">
      <c r="A4" s="1" t="s">
        <v>147</v>
      </c>
      <c r="B4" s="1" t="s">
        <v>207</v>
      </c>
      <c r="C4" s="1" t="s">
        <v>148</v>
      </c>
      <c r="D4" s="1" t="str">
        <f t="shared" si="0"/>
        <v>95 Express Lanes over Russell Road
_x000D_New - Simple Span, Steel Girders</v>
      </c>
      <c r="E4" s="1">
        <v>249</v>
      </c>
      <c r="F4" s="1">
        <v>148.21</v>
      </c>
      <c r="G4" s="1">
        <v>148.19999999999999</v>
      </c>
      <c r="H4" s="1" t="s">
        <v>243</v>
      </c>
      <c r="I4" s="1" t="s">
        <v>144</v>
      </c>
      <c r="J4" s="1" t="s">
        <v>132</v>
      </c>
      <c r="K4" s="1" t="s">
        <v>408</v>
      </c>
    </row>
    <row r="5" spans="1:11" x14ac:dyDescent="0.2">
      <c r="A5" s="1" t="s">
        <v>149</v>
      </c>
      <c r="B5" s="1" t="s">
        <v>208</v>
      </c>
      <c r="C5" s="1" t="s">
        <v>150</v>
      </c>
      <c r="D5" s="1" t="str">
        <f t="shared" si="0"/>
        <v>95 Express Lanes over Joplin Road (Rte 619)
_x000D_New - 2 Span, PS Concrete Beams</v>
      </c>
      <c r="E5" s="1">
        <v>376</v>
      </c>
      <c r="F5" s="1">
        <v>150.62</v>
      </c>
      <c r="G5" s="1">
        <v>150.6</v>
      </c>
      <c r="H5" s="1" t="s">
        <v>243</v>
      </c>
      <c r="I5" s="1" t="s">
        <v>151</v>
      </c>
      <c r="J5" s="1" t="s">
        <v>132</v>
      </c>
      <c r="K5" s="1" t="s">
        <v>408</v>
      </c>
    </row>
    <row r="6" spans="1:11" x14ac:dyDescent="0.2">
      <c r="A6" s="1" t="s">
        <v>152</v>
      </c>
      <c r="B6" s="1" t="s">
        <v>209</v>
      </c>
      <c r="C6" s="1" t="s">
        <v>153</v>
      </c>
      <c r="D6" s="1" t="str">
        <f t="shared" si="0"/>
        <v>95 Express Lanes over Quantico Creek and Mine Road
_x000D_Existing - 4 Span, Steel Girders</v>
      </c>
      <c r="E6" s="1">
        <v>448</v>
      </c>
      <c r="F6" s="1">
        <v>151.97999999999999</v>
      </c>
      <c r="G6" s="1">
        <v>151.80000000000001</v>
      </c>
      <c r="H6" s="1" t="s">
        <v>243</v>
      </c>
      <c r="I6" s="1" t="s">
        <v>154</v>
      </c>
      <c r="J6" s="1" t="s">
        <v>132</v>
      </c>
      <c r="K6" s="1" t="s">
        <v>408</v>
      </c>
    </row>
    <row r="7" spans="1:11" x14ac:dyDescent="0.2">
      <c r="A7" s="1" t="s">
        <v>155</v>
      </c>
      <c r="B7" s="1" t="s">
        <v>210</v>
      </c>
      <c r="C7" s="1" t="s">
        <v>156</v>
      </c>
      <c r="D7" s="1" t="str">
        <f t="shared" si="0"/>
        <v>95 Express Lanes over Powells Creek
_x000D_Existing - 3 Span, Steel Girders</v>
      </c>
      <c r="E7" s="1">
        <v>609</v>
      </c>
      <c r="F7" s="1">
        <v>155.03</v>
      </c>
      <c r="G7" s="1">
        <v>155</v>
      </c>
      <c r="H7" s="1" t="s">
        <v>244</v>
      </c>
      <c r="I7" s="1" t="s">
        <v>157</v>
      </c>
      <c r="J7" s="1" t="s">
        <v>132</v>
      </c>
      <c r="K7" s="1" t="s">
        <v>408</v>
      </c>
    </row>
    <row r="8" spans="1:11" x14ac:dyDescent="0.2">
      <c r="A8" s="1" t="s">
        <v>158</v>
      </c>
      <c r="B8" s="1" t="s">
        <v>211</v>
      </c>
      <c r="C8" s="1" t="s">
        <v>159</v>
      </c>
      <c r="D8" s="1" t="str">
        <f t="shared" si="0"/>
        <v>95 Express Lanes over Neabsco Creek
_x000D_Existing - 3 Span, Steel Girders</v>
      </c>
      <c r="E8" s="1">
        <v>644</v>
      </c>
      <c r="F8" s="1">
        <v>155.69999999999999</v>
      </c>
      <c r="G8" s="1">
        <v>155.6</v>
      </c>
      <c r="H8" s="1" t="s">
        <v>244</v>
      </c>
      <c r="I8" s="1" t="s">
        <v>157</v>
      </c>
      <c r="J8" s="1" t="s">
        <v>132</v>
      </c>
      <c r="K8" s="1" t="s">
        <v>408</v>
      </c>
    </row>
    <row r="9" spans="1:11" x14ac:dyDescent="0.2">
      <c r="A9" s="1" t="s">
        <v>160</v>
      </c>
      <c r="B9" s="1" t="s">
        <v>212</v>
      </c>
      <c r="C9" s="1" t="s">
        <v>161</v>
      </c>
      <c r="D9" s="1" t="str">
        <f t="shared" si="0"/>
        <v>95 Express Lanes over Occaquan River
_x000D_Existing - 6 Span, Steel Girder</v>
      </c>
      <c r="E9" s="1">
        <v>932</v>
      </c>
      <c r="F9" s="1">
        <v>161.15</v>
      </c>
      <c r="G9" s="1">
        <v>161</v>
      </c>
      <c r="H9" s="1" t="s">
        <v>245</v>
      </c>
      <c r="I9" s="1" t="s">
        <v>162</v>
      </c>
      <c r="J9" s="1" t="s">
        <v>132</v>
      </c>
      <c r="K9" s="1" t="s">
        <v>408</v>
      </c>
    </row>
    <row r="10" spans="1:11" x14ac:dyDescent="0.2">
      <c r="A10" s="1" t="s">
        <v>163</v>
      </c>
      <c r="B10" s="1" t="s">
        <v>213</v>
      </c>
      <c r="C10" s="1" t="s">
        <v>164</v>
      </c>
      <c r="D10" s="1" t="str">
        <f t="shared" si="0"/>
        <v>95 Express Lanes over Ramp C at Route 1
_x000D_Widening - 3 Span, Steel Girder</v>
      </c>
      <c r="E10" s="1">
        <v>973</v>
      </c>
      <c r="F10" s="1">
        <v>161.93</v>
      </c>
      <c r="G10" s="1">
        <v>161.80000000000001</v>
      </c>
      <c r="H10" s="1" t="s">
        <v>245</v>
      </c>
      <c r="I10" s="1" t="s">
        <v>165</v>
      </c>
      <c r="J10" s="1" t="s">
        <v>132</v>
      </c>
      <c r="K10" s="1" t="s">
        <v>408</v>
      </c>
    </row>
    <row r="11" spans="1:11" x14ac:dyDescent="0.2">
      <c r="A11" s="1" t="s">
        <v>166</v>
      </c>
      <c r="B11" s="1" t="s">
        <v>214</v>
      </c>
      <c r="C11" s="1" t="s">
        <v>167</v>
      </c>
      <c r="D11" s="1" t="str">
        <f t="shared" si="0"/>
        <v>95 Express Lanes over I-495
_x000D_Exist.</v>
      </c>
      <c r="E11" s="1">
        <v>1435</v>
      </c>
      <c r="F11" s="1">
        <v>0.2</v>
      </c>
      <c r="G11" s="1">
        <v>0.2</v>
      </c>
      <c r="H11" s="1" t="s">
        <v>246</v>
      </c>
      <c r="I11" s="1" t="s">
        <v>168</v>
      </c>
      <c r="J11" s="1" t="s">
        <v>132</v>
      </c>
      <c r="K11" s="1" t="s">
        <v>408</v>
      </c>
    </row>
    <row r="12" spans="1:11" x14ac:dyDescent="0.2">
      <c r="A12" s="1" t="s">
        <v>169</v>
      </c>
      <c r="B12" s="1" t="s">
        <v>215</v>
      </c>
      <c r="C12" s="1" t="s">
        <v>170</v>
      </c>
      <c r="D12" s="1" t="str">
        <f t="shared" si="0"/>
        <v>95 Express Lanes over Northern Southern RR
_x000D_New - Simple Span, PS Concrete Beams</v>
      </c>
      <c r="E12" s="1">
        <v>1439</v>
      </c>
      <c r="F12" s="1">
        <v>0.26</v>
      </c>
      <c r="G12" s="1">
        <v>0.2</v>
      </c>
      <c r="H12" s="1" t="s">
        <v>246</v>
      </c>
      <c r="I12" s="1" t="s">
        <v>171</v>
      </c>
      <c r="J12" s="1" t="s">
        <v>132</v>
      </c>
      <c r="K12" s="1" t="s">
        <v>408</v>
      </c>
    </row>
    <row r="13" spans="1:11" x14ac:dyDescent="0.2">
      <c r="A13" s="1" t="s">
        <v>172</v>
      </c>
      <c r="B13" s="1" t="s">
        <v>216</v>
      </c>
      <c r="C13" s="1" t="s">
        <v>173</v>
      </c>
      <c r="D13" s="1" t="str">
        <f t="shared" si="0"/>
        <v>Garrisonville Flyover
_x000D_New - 2 Span, Steel Girders</v>
      </c>
      <c r="E13" s="1">
        <v>71</v>
      </c>
      <c r="F13" s="1">
        <v>144.84</v>
      </c>
      <c r="G13" s="1">
        <v>144.80000000000001</v>
      </c>
      <c r="H13" s="1" t="s">
        <v>243</v>
      </c>
      <c r="I13" s="1" t="s">
        <v>174</v>
      </c>
      <c r="J13" s="1" t="s">
        <v>132</v>
      </c>
      <c r="K13" s="1" t="s">
        <v>408</v>
      </c>
    </row>
    <row r="14" spans="1:11" x14ac:dyDescent="0.2">
      <c r="A14" s="1" t="s">
        <v>175</v>
      </c>
      <c r="B14" s="1" t="s">
        <v>217</v>
      </c>
      <c r="C14" s="1" t="s">
        <v>176</v>
      </c>
      <c r="D14" s="1" t="str">
        <f t="shared" si="0"/>
        <v>Flyover from 95 SB GP just north of Joplin Road
_x000D_New - 3 Span, Steel Girders</v>
      </c>
      <c r="E14" s="1">
        <v>420</v>
      </c>
      <c r="F14" s="1">
        <v>151.44999999999999</v>
      </c>
      <c r="G14" s="1">
        <v>151.4</v>
      </c>
      <c r="H14" s="1" t="s">
        <v>243</v>
      </c>
      <c r="I14" s="1" t="s">
        <v>177</v>
      </c>
      <c r="J14" s="1" t="s">
        <v>132</v>
      </c>
      <c r="K14" s="1" t="s">
        <v>408</v>
      </c>
    </row>
    <row r="15" spans="1:11" x14ac:dyDescent="0.2">
      <c r="A15" s="1" t="s">
        <v>178</v>
      </c>
      <c r="B15" s="1" t="s">
        <v>218</v>
      </c>
      <c r="C15" s="1" t="s">
        <v>179</v>
      </c>
      <c r="D15" s="1" t="str">
        <f t="shared" si="0"/>
        <v>Flyover from 95 NB GP to 95 Express Lanes just north of Opitz Blvd
_x000D_</v>
      </c>
      <c r="E15" s="1">
        <v>763</v>
      </c>
      <c r="F15" s="1">
        <v>157.94999999999999</v>
      </c>
      <c r="G15" s="1">
        <v>157.80000000000001</v>
      </c>
      <c r="H15" s="1" t="s">
        <v>247</v>
      </c>
      <c r="I15" s="1"/>
      <c r="J15" s="1" t="s">
        <v>132</v>
      </c>
      <c r="K15" s="1" t="s">
        <v>408</v>
      </c>
    </row>
    <row r="16" spans="1:11" x14ac:dyDescent="0.2">
      <c r="A16" s="1" t="s">
        <v>180</v>
      </c>
      <c r="B16" s="1" t="s">
        <v>219</v>
      </c>
      <c r="C16" s="1" t="s">
        <v>181</v>
      </c>
      <c r="D16" s="1" t="str">
        <f t="shared" si="0"/>
        <v>95 Express Lanes over Occaquan Rd [E.L. &amp; SB G.P.]
_x000D_Existing - 3 Span, Steel Girders</v>
      </c>
      <c r="E16" s="1">
        <v>893</v>
      </c>
      <c r="F16" s="1">
        <v>160.41</v>
      </c>
      <c r="G16" s="1">
        <v>160.4</v>
      </c>
      <c r="H16" s="1" t="s">
        <v>245</v>
      </c>
      <c r="I16" s="1" t="s">
        <v>157</v>
      </c>
      <c r="J16" s="1" t="s">
        <v>132</v>
      </c>
      <c r="K16" s="1" t="s">
        <v>408</v>
      </c>
    </row>
    <row r="17" spans="1:11" x14ac:dyDescent="0.2">
      <c r="A17" s="1" t="s">
        <v>182</v>
      </c>
      <c r="B17" s="1" t="s">
        <v>220</v>
      </c>
      <c r="C17" s="1" t="s">
        <v>183</v>
      </c>
      <c r="D17" s="1" t="str">
        <f t="shared" si="0"/>
        <v>Flyover to Gordon Blvd (Rte 123)
_x000D_</v>
      </c>
      <c r="E17" s="1">
        <v>920</v>
      </c>
      <c r="F17" s="1">
        <v>160.91999999999999</v>
      </c>
      <c r="G17" s="1">
        <v>160.80000000000001</v>
      </c>
      <c r="H17" s="1" t="s">
        <v>245</v>
      </c>
      <c r="I17" s="1"/>
      <c r="J17" s="1" t="s">
        <v>132</v>
      </c>
      <c r="K17" s="1" t="s">
        <v>408</v>
      </c>
    </row>
    <row r="18" spans="1:11" x14ac:dyDescent="0.2">
      <c r="A18" s="1" t="s">
        <v>184</v>
      </c>
      <c r="B18" s="1" t="s">
        <v>221</v>
      </c>
      <c r="C18" s="1" t="s">
        <v>185</v>
      </c>
      <c r="D18" s="1" t="str">
        <f t="shared" si="0"/>
        <v>95 Express Lanes over Furnace Rd (Rte 611) [E.L. &amp; NB G.P.]
_x000D_New - 3 Span, Steel Girders</v>
      </c>
      <c r="E18" s="1">
        <v>950</v>
      </c>
      <c r="F18" s="1">
        <v>161.5</v>
      </c>
      <c r="G18" s="1">
        <v>161.4</v>
      </c>
      <c r="H18" s="1" t="s">
        <v>245</v>
      </c>
      <c r="I18" s="1" t="s">
        <v>177</v>
      </c>
      <c r="J18" s="1" t="s">
        <v>132</v>
      </c>
      <c r="K18" s="1" t="s">
        <v>408</v>
      </c>
    </row>
    <row r="19" spans="1:11" x14ac:dyDescent="0.2">
      <c r="A19" s="1" t="s">
        <v>186</v>
      </c>
      <c r="B19" s="1" t="s">
        <v>222</v>
      </c>
      <c r="C19" s="1" t="s">
        <v>187</v>
      </c>
      <c r="D19" s="1" t="str">
        <f t="shared" si="0"/>
        <v>95 Express Lanes over Lorton Rd (Rte 642) [E.L., SB &amp; NB G.P.]
_x000D_Existing - 2 Span, Steel Girders</v>
      </c>
      <c r="E19" s="1">
        <v>1079</v>
      </c>
      <c r="F19" s="1">
        <v>163.94</v>
      </c>
      <c r="G19" s="1">
        <v>163.80000000000001</v>
      </c>
      <c r="H19" s="1" t="s">
        <v>245</v>
      </c>
      <c r="I19" s="1" t="s">
        <v>188</v>
      </c>
      <c r="J19" s="1" t="s">
        <v>132</v>
      </c>
      <c r="K19" s="1" t="s">
        <v>408</v>
      </c>
    </row>
    <row r="20" spans="1:11" x14ac:dyDescent="0.2">
      <c r="A20" s="1" t="s">
        <v>189</v>
      </c>
      <c r="B20" s="1" t="s">
        <v>223</v>
      </c>
      <c r="C20" s="1" t="s">
        <v>190</v>
      </c>
      <c r="D20" s="1" t="str">
        <f t="shared" si="0"/>
        <v>95 Express Lanes over Pohick Creek  [E.L., SB &amp; NB G.P.]
_x000D_Existing - Simple Span, Steel Girders</v>
      </c>
      <c r="E20" s="1">
        <v>1116</v>
      </c>
      <c r="F20" s="1">
        <v>164.64</v>
      </c>
      <c r="G20" s="1">
        <v>164.6</v>
      </c>
      <c r="H20" s="1" t="s">
        <v>245</v>
      </c>
      <c r="I20" s="1" t="s">
        <v>191</v>
      </c>
      <c r="J20" s="1" t="s">
        <v>132</v>
      </c>
      <c r="K20" s="1" t="s">
        <v>408</v>
      </c>
    </row>
    <row r="21" spans="1:11" x14ac:dyDescent="0.2">
      <c r="A21" s="1" t="s">
        <v>192</v>
      </c>
      <c r="B21" s="1" t="s">
        <v>224</v>
      </c>
      <c r="C21" s="1" t="s">
        <v>193</v>
      </c>
      <c r="D21" s="1" t="str">
        <f t="shared" si="0"/>
        <v>95 Express Lanes over Accotink Creek  [E.L., SB &amp; NB G.P.]
_x000D_</v>
      </c>
      <c r="E21" s="1">
        <v>1172</v>
      </c>
      <c r="F21" s="1">
        <v>165.7</v>
      </c>
      <c r="G21" s="1">
        <v>165.6</v>
      </c>
      <c r="H21" s="1" t="s">
        <v>245</v>
      </c>
      <c r="I21" s="1"/>
      <c r="J21" s="1" t="s">
        <v>132</v>
      </c>
      <c r="K21" s="1" t="s">
        <v>408</v>
      </c>
    </row>
    <row r="22" spans="1:11" x14ac:dyDescent="0.2">
      <c r="A22" s="1" t="s">
        <v>194</v>
      </c>
      <c r="B22" s="1" t="s">
        <v>225</v>
      </c>
      <c r="C22" s="1" t="s">
        <v>195</v>
      </c>
      <c r="D22" s="1" t="str">
        <f t="shared" si="0"/>
        <v>Flyover at Boudinot
_x000D_New - 3 Span, Steel Girders</v>
      </c>
      <c r="E22" s="1">
        <v>1220</v>
      </c>
      <c r="F22" s="1">
        <v>166.6</v>
      </c>
      <c r="G22" s="1">
        <v>166.6</v>
      </c>
      <c r="H22" s="1" t="s">
        <v>248</v>
      </c>
      <c r="I22" s="1" t="s">
        <v>177</v>
      </c>
      <c r="J22" s="1" t="s">
        <v>132</v>
      </c>
      <c r="K22" s="1" t="s">
        <v>408</v>
      </c>
    </row>
    <row r="23" spans="1:11" x14ac:dyDescent="0.2">
      <c r="A23" s="1" t="s">
        <v>196</v>
      </c>
      <c r="B23" s="1" t="s">
        <v>226</v>
      </c>
      <c r="C23" s="1" t="s">
        <v>197</v>
      </c>
      <c r="D23" s="1" t="str">
        <f t="shared" si="0"/>
        <v>NB Flyover Ramp H-N to I-95 just north of Fairfax Pkwy.
_x000D_</v>
      </c>
      <c r="E23" s="1">
        <v>1277</v>
      </c>
      <c r="F23" s="1">
        <v>167.69</v>
      </c>
      <c r="G23" s="1">
        <v>167.6</v>
      </c>
      <c r="H23" s="1" t="s">
        <v>248</v>
      </c>
      <c r="I23" s="1"/>
      <c r="J23" s="1" t="s">
        <v>132</v>
      </c>
      <c r="K23" s="1" t="s">
        <v>408</v>
      </c>
    </row>
    <row r="24" spans="1:11" x14ac:dyDescent="0.2">
      <c r="A24" s="1" t="s">
        <v>198</v>
      </c>
      <c r="B24" s="1" t="s">
        <v>227</v>
      </c>
      <c r="C24" s="1" t="s">
        <v>199</v>
      </c>
      <c r="D24" s="1" t="str">
        <f t="shared" si="0"/>
        <v>Ramp H-S over 95 Express Lanes (SB Ramp under Franconia-Springfield Bridge)
_x000D_</v>
      </c>
      <c r="E24" s="1">
        <v>1368</v>
      </c>
      <c r="F24" s="1">
        <v>169.41</v>
      </c>
      <c r="G24" s="1">
        <v>169.4</v>
      </c>
      <c r="H24" s="1" t="s">
        <v>248</v>
      </c>
      <c r="I24" s="1"/>
      <c r="J24" s="1" t="s">
        <v>132</v>
      </c>
      <c r="K24" s="1" t="s">
        <v>408</v>
      </c>
    </row>
    <row r="25" spans="1:11" x14ac:dyDescent="0.2">
      <c r="A25" s="1" t="s">
        <v>200</v>
      </c>
      <c r="B25" s="1" t="s">
        <v>228</v>
      </c>
      <c r="C25" s="1" t="s">
        <v>201</v>
      </c>
      <c r="D25" s="1" t="str">
        <f t="shared" si="0"/>
        <v>Ramp OK-E over 95 Express Lanes at Franconia Road (Rte 644)
_x000D_</v>
      </c>
      <c r="E25" s="1">
        <v>1379</v>
      </c>
      <c r="F25" s="1">
        <v>169.62</v>
      </c>
      <c r="G25" s="1">
        <v>169.6</v>
      </c>
      <c r="H25" s="1" t="s">
        <v>248</v>
      </c>
      <c r="I25" s="1"/>
      <c r="J25" s="1" t="s">
        <v>132</v>
      </c>
      <c r="K25" s="1" t="s">
        <v>408</v>
      </c>
    </row>
    <row r="26" spans="1:11" x14ac:dyDescent="0.2">
      <c r="A26" s="1" t="s">
        <v>200</v>
      </c>
      <c r="B26" s="1" t="s">
        <v>229</v>
      </c>
      <c r="C26" s="1" t="s">
        <v>202</v>
      </c>
      <c r="D26" s="1" t="str">
        <f t="shared" si="0"/>
        <v>Ramp OK-E over Franconia Road (Rte 644)
_x000D_</v>
      </c>
      <c r="E26" s="1">
        <v>1385</v>
      </c>
      <c r="F26" s="1">
        <v>169.73</v>
      </c>
      <c r="G26" s="1">
        <v>169.6</v>
      </c>
      <c r="H26" s="1" t="s">
        <v>248</v>
      </c>
      <c r="I26" s="1"/>
      <c r="J26" s="1" t="s">
        <v>132</v>
      </c>
      <c r="K26" s="1" t="s">
        <v>408</v>
      </c>
    </row>
    <row r="27" spans="1:11" x14ac:dyDescent="0.2">
      <c r="A27" s="1" t="s">
        <v>203</v>
      </c>
      <c r="B27" s="1" t="s">
        <v>230</v>
      </c>
      <c r="C27" s="1" t="s">
        <v>204</v>
      </c>
      <c r="D27" s="1" t="str">
        <f t="shared" si="0"/>
        <v>Turkeycock Flyover
_x000D_</v>
      </c>
      <c r="E27" s="1">
        <v>1536</v>
      </c>
      <c r="F27" s="1">
        <v>2</v>
      </c>
      <c r="G27" s="1">
        <v>2</v>
      </c>
      <c r="H27" s="1" t="s">
        <v>246</v>
      </c>
      <c r="I27" s="1"/>
      <c r="J27" s="1" t="s">
        <v>132</v>
      </c>
      <c r="K27" s="1" t="s">
        <v>408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7"/>
  <sheetViews>
    <sheetView zoomScale="80" zoomScaleNormal="80" workbookViewId="0">
      <selection activeCell="A2" sqref="A2:A47"/>
    </sheetView>
  </sheetViews>
  <sheetFormatPr defaultRowHeight="15" x14ac:dyDescent="0.25"/>
  <cols>
    <col min="1" max="1" width="12.5703125" customWidth="1"/>
    <col min="2" max="2" width="26.7109375" bestFit="1" customWidth="1"/>
    <col min="3" max="3" width="10.5703125" bestFit="1" customWidth="1"/>
    <col min="4" max="4" width="26.7109375" bestFit="1" customWidth="1"/>
    <col min="5" max="5" width="11.28515625" bestFit="1" customWidth="1"/>
  </cols>
  <sheetData>
    <row r="1" spans="1:11" x14ac:dyDescent="0.25">
      <c r="A1" t="s">
        <v>231</v>
      </c>
      <c r="B1" t="s">
        <v>80</v>
      </c>
      <c r="C1" t="s">
        <v>233</v>
      </c>
      <c r="D1" t="s">
        <v>234</v>
      </c>
      <c r="E1" t="s">
        <v>235</v>
      </c>
    </row>
    <row r="2" spans="1:11" x14ac:dyDescent="0.25">
      <c r="A2" s="4">
        <v>143.4</v>
      </c>
      <c r="B2">
        <v>143.4</v>
      </c>
      <c r="C2" t="str">
        <f t="shared" ref="C2:C46" si="0">"MM" &amp; B2</f>
        <v>MM143.4</v>
      </c>
      <c r="D2" t="str">
        <f t="shared" ref="D2:D46" si="1">"Mile Marker " &amp; B2 &amp; " to " &amp; B3</f>
        <v>Mile Marker 143.4 to 143.6</v>
      </c>
      <c r="E2" t="s">
        <v>236</v>
      </c>
      <c r="K2" s="3"/>
    </row>
    <row r="3" spans="1:11" x14ac:dyDescent="0.25">
      <c r="A3" s="4">
        <v>143.6</v>
      </c>
      <c r="B3">
        <v>143.6</v>
      </c>
      <c r="C3" t="str">
        <f t="shared" si="0"/>
        <v>MM143.6</v>
      </c>
      <c r="D3" t="str">
        <f t="shared" si="1"/>
        <v>Mile Marker 143.6 to 143.8</v>
      </c>
      <c r="E3" t="s">
        <v>236</v>
      </c>
    </row>
    <row r="4" spans="1:11" x14ac:dyDescent="0.25">
      <c r="A4" s="4">
        <v>143.80000000000001</v>
      </c>
      <c r="B4">
        <f t="shared" ref="B4:B46" si="2">B3+0.2</f>
        <v>143.79999999999998</v>
      </c>
      <c r="C4" t="str">
        <f t="shared" si="0"/>
        <v>MM143.8</v>
      </c>
      <c r="D4" t="str">
        <f t="shared" si="1"/>
        <v>Mile Marker 143.8 to 144</v>
      </c>
      <c r="E4" t="s">
        <v>236</v>
      </c>
    </row>
    <row r="5" spans="1:11" x14ac:dyDescent="0.25">
      <c r="A5" s="4">
        <v>144</v>
      </c>
      <c r="B5">
        <f t="shared" si="2"/>
        <v>143.99999999999997</v>
      </c>
      <c r="C5" t="str">
        <f t="shared" si="0"/>
        <v>MM144</v>
      </c>
      <c r="D5" t="str">
        <f t="shared" si="1"/>
        <v>Mile Marker 144 to 144.2</v>
      </c>
      <c r="E5" t="s">
        <v>236</v>
      </c>
    </row>
    <row r="6" spans="1:11" x14ac:dyDescent="0.25">
      <c r="A6" s="4">
        <v>144.19999999999999</v>
      </c>
      <c r="B6">
        <f t="shared" si="2"/>
        <v>144.19999999999996</v>
      </c>
      <c r="C6" t="str">
        <f t="shared" si="0"/>
        <v>MM144.2</v>
      </c>
      <c r="D6" t="str">
        <f t="shared" si="1"/>
        <v>Mile Marker 144.2 to 144.4</v>
      </c>
      <c r="E6" t="s">
        <v>236</v>
      </c>
    </row>
    <row r="7" spans="1:11" x14ac:dyDescent="0.25">
      <c r="A7" s="4">
        <v>144.4</v>
      </c>
      <c r="B7">
        <f t="shared" si="2"/>
        <v>144.39999999999995</v>
      </c>
      <c r="C7" t="str">
        <f t="shared" si="0"/>
        <v>MM144.4</v>
      </c>
      <c r="D7" t="str">
        <f t="shared" si="1"/>
        <v>Mile Marker 144.4 to 144.6</v>
      </c>
      <c r="E7" t="s">
        <v>236</v>
      </c>
    </row>
    <row r="8" spans="1:11" x14ac:dyDescent="0.25">
      <c r="A8" s="4">
        <v>144.6</v>
      </c>
      <c r="B8">
        <f t="shared" si="2"/>
        <v>144.59999999999994</v>
      </c>
      <c r="C8" t="str">
        <f t="shared" si="0"/>
        <v>MM144.6</v>
      </c>
      <c r="D8" t="str">
        <f t="shared" si="1"/>
        <v>Mile Marker 144.6 to 144.8</v>
      </c>
      <c r="E8" t="s">
        <v>236</v>
      </c>
    </row>
    <row r="9" spans="1:11" x14ac:dyDescent="0.25">
      <c r="A9" s="4">
        <v>144.80000000000001</v>
      </c>
      <c r="B9">
        <f t="shared" si="2"/>
        <v>144.79999999999993</v>
      </c>
      <c r="C9" t="str">
        <f t="shared" si="0"/>
        <v>MM144.8</v>
      </c>
      <c r="D9" t="str">
        <f t="shared" si="1"/>
        <v>Mile Marker 144.8 to 145</v>
      </c>
      <c r="E9" t="s">
        <v>236</v>
      </c>
    </row>
    <row r="10" spans="1:11" x14ac:dyDescent="0.25">
      <c r="A10" s="4">
        <v>145</v>
      </c>
      <c r="B10">
        <f t="shared" si="2"/>
        <v>144.99999999999991</v>
      </c>
      <c r="C10" t="str">
        <f t="shared" si="0"/>
        <v>MM145</v>
      </c>
      <c r="D10" t="str">
        <f t="shared" si="1"/>
        <v>Mile Marker 145 to 145.2</v>
      </c>
      <c r="E10" t="s">
        <v>236</v>
      </c>
    </row>
    <row r="11" spans="1:11" x14ac:dyDescent="0.25">
      <c r="A11" s="5">
        <v>145.19999999999999</v>
      </c>
      <c r="B11">
        <f t="shared" si="2"/>
        <v>145.1999999999999</v>
      </c>
      <c r="C11" t="str">
        <f t="shared" si="0"/>
        <v>MM145.2</v>
      </c>
      <c r="D11" t="str">
        <f t="shared" si="1"/>
        <v>Mile Marker 145.2 to 145.4</v>
      </c>
      <c r="E11" t="s">
        <v>236</v>
      </c>
    </row>
    <row r="12" spans="1:11" x14ac:dyDescent="0.25">
      <c r="A12" s="4">
        <v>145.4</v>
      </c>
      <c r="B12">
        <f t="shared" si="2"/>
        <v>145.39999999999989</v>
      </c>
      <c r="C12" t="str">
        <f t="shared" si="0"/>
        <v>MM145.4</v>
      </c>
      <c r="D12" t="str">
        <f t="shared" si="1"/>
        <v>Mile Marker 145.4 to 145.6</v>
      </c>
      <c r="E12" t="s">
        <v>236</v>
      </c>
    </row>
    <row r="13" spans="1:11" x14ac:dyDescent="0.25">
      <c r="A13" s="4">
        <v>145.6</v>
      </c>
      <c r="B13">
        <f t="shared" si="2"/>
        <v>145.59999999999988</v>
      </c>
      <c r="C13" t="str">
        <f t="shared" si="0"/>
        <v>MM145.6</v>
      </c>
      <c r="D13" t="str">
        <f t="shared" si="1"/>
        <v>Mile Marker 145.6 to 145.8</v>
      </c>
      <c r="E13" t="s">
        <v>236</v>
      </c>
    </row>
    <row r="14" spans="1:11" x14ac:dyDescent="0.25">
      <c r="A14" s="4">
        <v>145.80000000000001</v>
      </c>
      <c r="B14">
        <f t="shared" si="2"/>
        <v>145.79999999999987</v>
      </c>
      <c r="C14" t="str">
        <f t="shared" si="0"/>
        <v>MM145.8</v>
      </c>
      <c r="D14" t="str">
        <f t="shared" si="1"/>
        <v>Mile Marker 145.8 to 146</v>
      </c>
      <c r="E14" t="s">
        <v>236</v>
      </c>
    </row>
    <row r="15" spans="1:11" x14ac:dyDescent="0.25">
      <c r="A15" s="4">
        <v>146</v>
      </c>
      <c r="B15">
        <f t="shared" si="2"/>
        <v>145.99999999999986</v>
      </c>
      <c r="C15" t="str">
        <f t="shared" si="0"/>
        <v>MM146</v>
      </c>
      <c r="D15" t="str">
        <f t="shared" si="1"/>
        <v>Mile Marker 146 to 146.2</v>
      </c>
      <c r="E15" t="s">
        <v>236</v>
      </c>
    </row>
    <row r="16" spans="1:11" x14ac:dyDescent="0.25">
      <c r="A16" s="4">
        <v>146.19999999999999</v>
      </c>
      <c r="B16">
        <f t="shared" si="2"/>
        <v>146.19999999999985</v>
      </c>
      <c r="C16" t="str">
        <f t="shared" si="0"/>
        <v>MM146.2</v>
      </c>
      <c r="D16" t="str">
        <f t="shared" si="1"/>
        <v>Mile Marker 146.2 to 146.4</v>
      </c>
      <c r="E16" t="s">
        <v>236</v>
      </c>
    </row>
    <row r="17" spans="1:5" x14ac:dyDescent="0.25">
      <c r="A17" s="4">
        <v>146.4</v>
      </c>
      <c r="B17">
        <f t="shared" si="2"/>
        <v>146.39999999999984</v>
      </c>
      <c r="C17" t="str">
        <f t="shared" si="0"/>
        <v>MM146.4</v>
      </c>
      <c r="D17" t="str">
        <f t="shared" si="1"/>
        <v>Mile Marker 146.4 to 146.6</v>
      </c>
      <c r="E17" t="s">
        <v>236</v>
      </c>
    </row>
    <row r="18" spans="1:5" x14ac:dyDescent="0.25">
      <c r="A18" s="4">
        <v>146.6</v>
      </c>
      <c r="B18">
        <f t="shared" si="2"/>
        <v>146.59999999999982</v>
      </c>
      <c r="C18" t="str">
        <f t="shared" si="0"/>
        <v>MM146.6</v>
      </c>
      <c r="D18" t="str">
        <f t="shared" si="1"/>
        <v>Mile Marker 146.6 to 146.8</v>
      </c>
      <c r="E18" t="s">
        <v>236</v>
      </c>
    </row>
    <row r="19" spans="1:5" x14ac:dyDescent="0.25">
      <c r="A19" s="4">
        <v>146.80000000000001</v>
      </c>
      <c r="B19">
        <f t="shared" si="2"/>
        <v>146.79999999999981</v>
      </c>
      <c r="C19" t="str">
        <f t="shared" si="0"/>
        <v>MM146.8</v>
      </c>
      <c r="D19" t="str">
        <f t="shared" si="1"/>
        <v>Mile Marker 146.8 to 147</v>
      </c>
      <c r="E19" t="s">
        <v>236</v>
      </c>
    </row>
    <row r="20" spans="1:5" x14ac:dyDescent="0.25">
      <c r="A20" s="4">
        <v>147</v>
      </c>
      <c r="B20">
        <f t="shared" si="2"/>
        <v>146.9999999999998</v>
      </c>
      <c r="C20" t="str">
        <f t="shared" si="0"/>
        <v>MM147</v>
      </c>
      <c r="D20" t="str">
        <f t="shared" si="1"/>
        <v>Mile Marker 147 to 147.2</v>
      </c>
      <c r="E20" t="s">
        <v>236</v>
      </c>
    </row>
    <row r="21" spans="1:5" x14ac:dyDescent="0.25">
      <c r="A21" s="4">
        <v>147.19999999999999</v>
      </c>
      <c r="B21">
        <f t="shared" si="2"/>
        <v>147.19999999999979</v>
      </c>
      <c r="C21" t="str">
        <f t="shared" si="0"/>
        <v>MM147.2</v>
      </c>
      <c r="D21" t="str">
        <f t="shared" si="1"/>
        <v>Mile Marker 147.2 to 147.4</v>
      </c>
      <c r="E21" t="s">
        <v>236</v>
      </c>
    </row>
    <row r="22" spans="1:5" x14ac:dyDescent="0.25">
      <c r="A22" s="4">
        <v>147.4</v>
      </c>
      <c r="B22">
        <f t="shared" si="2"/>
        <v>147.39999999999978</v>
      </c>
      <c r="C22" t="str">
        <f t="shared" si="0"/>
        <v>MM147.4</v>
      </c>
      <c r="D22" t="str">
        <f t="shared" si="1"/>
        <v>Mile Marker 147.4 to 147.6</v>
      </c>
      <c r="E22" t="s">
        <v>236</v>
      </c>
    </row>
    <row r="23" spans="1:5" x14ac:dyDescent="0.25">
      <c r="A23" s="4">
        <v>147.6</v>
      </c>
      <c r="B23">
        <f t="shared" si="2"/>
        <v>147.59999999999977</v>
      </c>
      <c r="C23" t="str">
        <f t="shared" si="0"/>
        <v>MM147.6</v>
      </c>
      <c r="D23" t="str">
        <f t="shared" si="1"/>
        <v>Mile Marker 147.6 to 147.8</v>
      </c>
      <c r="E23" t="s">
        <v>236</v>
      </c>
    </row>
    <row r="24" spans="1:5" x14ac:dyDescent="0.25">
      <c r="A24" s="4">
        <v>147.80000000000001</v>
      </c>
      <c r="B24">
        <f t="shared" si="2"/>
        <v>147.79999999999976</v>
      </c>
      <c r="C24" t="str">
        <f t="shared" si="0"/>
        <v>MM147.8</v>
      </c>
      <c r="D24" t="str">
        <f t="shared" si="1"/>
        <v>Mile Marker 147.8 to 148</v>
      </c>
      <c r="E24" t="s">
        <v>236</v>
      </c>
    </row>
    <row r="25" spans="1:5" x14ac:dyDescent="0.25">
      <c r="A25" s="4">
        <v>148</v>
      </c>
      <c r="B25">
        <f t="shared" si="2"/>
        <v>147.99999999999974</v>
      </c>
      <c r="C25" t="str">
        <f t="shared" si="0"/>
        <v>MM148</v>
      </c>
      <c r="D25" t="str">
        <f t="shared" si="1"/>
        <v>Mile Marker 148 to 148.2</v>
      </c>
      <c r="E25" t="s">
        <v>236</v>
      </c>
    </row>
    <row r="26" spans="1:5" x14ac:dyDescent="0.25">
      <c r="A26" s="4">
        <v>148.19999999999999</v>
      </c>
      <c r="B26">
        <f t="shared" si="2"/>
        <v>148.19999999999973</v>
      </c>
      <c r="C26" t="str">
        <f t="shared" si="0"/>
        <v>MM148.2</v>
      </c>
      <c r="D26" t="str">
        <f t="shared" si="1"/>
        <v>Mile Marker 148.2 to 148.4</v>
      </c>
      <c r="E26" t="s">
        <v>236</v>
      </c>
    </row>
    <row r="27" spans="1:5" x14ac:dyDescent="0.25">
      <c r="A27" s="4">
        <v>148.4</v>
      </c>
      <c r="B27">
        <f t="shared" si="2"/>
        <v>148.39999999999972</v>
      </c>
      <c r="C27" t="str">
        <f t="shared" si="0"/>
        <v>MM148.4</v>
      </c>
      <c r="D27" t="str">
        <f t="shared" si="1"/>
        <v>Mile Marker 148.4 to 148.6</v>
      </c>
      <c r="E27" t="s">
        <v>236</v>
      </c>
    </row>
    <row r="28" spans="1:5" x14ac:dyDescent="0.25">
      <c r="A28" s="4">
        <v>148.6</v>
      </c>
      <c r="B28">
        <f t="shared" si="2"/>
        <v>148.59999999999971</v>
      </c>
      <c r="C28" t="str">
        <f t="shared" si="0"/>
        <v>MM148.6</v>
      </c>
      <c r="D28" t="str">
        <f t="shared" si="1"/>
        <v>Mile Marker 148.6 to 148.8</v>
      </c>
      <c r="E28" t="s">
        <v>236</v>
      </c>
    </row>
    <row r="29" spans="1:5" x14ac:dyDescent="0.25">
      <c r="A29" s="4">
        <v>148.80000000000001</v>
      </c>
      <c r="B29">
        <f t="shared" si="2"/>
        <v>148.7999999999997</v>
      </c>
      <c r="C29" t="str">
        <f t="shared" si="0"/>
        <v>MM148.8</v>
      </c>
      <c r="D29" t="str">
        <f t="shared" si="1"/>
        <v>Mile Marker 148.8 to 149</v>
      </c>
      <c r="E29" t="s">
        <v>236</v>
      </c>
    </row>
    <row r="30" spans="1:5" x14ac:dyDescent="0.25">
      <c r="A30" s="4">
        <v>149</v>
      </c>
      <c r="B30">
        <f t="shared" si="2"/>
        <v>148.99999999999969</v>
      </c>
      <c r="C30" t="str">
        <f t="shared" si="0"/>
        <v>MM149</v>
      </c>
      <c r="D30" t="str">
        <f t="shared" si="1"/>
        <v>Mile Marker 149 to 149.2</v>
      </c>
      <c r="E30" t="s">
        <v>236</v>
      </c>
    </row>
    <row r="31" spans="1:5" x14ac:dyDescent="0.25">
      <c r="A31" s="4">
        <v>149.19999999999999</v>
      </c>
      <c r="B31">
        <f t="shared" si="2"/>
        <v>149.19999999999968</v>
      </c>
      <c r="C31" t="str">
        <f t="shared" si="0"/>
        <v>MM149.2</v>
      </c>
      <c r="D31" t="str">
        <f t="shared" si="1"/>
        <v>Mile Marker 149.2 to 149.4</v>
      </c>
      <c r="E31" t="s">
        <v>236</v>
      </c>
    </row>
    <row r="32" spans="1:5" x14ac:dyDescent="0.25">
      <c r="A32" s="4">
        <v>149.4</v>
      </c>
      <c r="B32">
        <f t="shared" si="2"/>
        <v>149.39999999999966</v>
      </c>
      <c r="C32" t="str">
        <f t="shared" si="0"/>
        <v>MM149.4</v>
      </c>
      <c r="D32" t="str">
        <f t="shared" si="1"/>
        <v>Mile Marker 149.4 to 149.6</v>
      </c>
      <c r="E32" t="s">
        <v>236</v>
      </c>
    </row>
    <row r="33" spans="1:5" x14ac:dyDescent="0.25">
      <c r="A33" s="4">
        <v>149.6</v>
      </c>
      <c r="B33">
        <f t="shared" si="2"/>
        <v>149.59999999999965</v>
      </c>
      <c r="C33" t="str">
        <f t="shared" si="0"/>
        <v>MM149.6</v>
      </c>
      <c r="D33" t="str">
        <f t="shared" si="1"/>
        <v>Mile Marker 149.6 to 149.8</v>
      </c>
      <c r="E33" t="s">
        <v>236</v>
      </c>
    </row>
    <row r="34" spans="1:5" x14ac:dyDescent="0.25">
      <c r="A34" s="4">
        <v>149.80000000000001</v>
      </c>
      <c r="B34">
        <f t="shared" si="2"/>
        <v>149.79999999999964</v>
      </c>
      <c r="C34" t="str">
        <f t="shared" si="0"/>
        <v>MM149.8</v>
      </c>
      <c r="D34" t="str">
        <f t="shared" si="1"/>
        <v>Mile Marker 149.8 to 150</v>
      </c>
      <c r="E34" t="s">
        <v>236</v>
      </c>
    </row>
    <row r="35" spans="1:5" x14ac:dyDescent="0.25">
      <c r="A35" s="4">
        <v>150</v>
      </c>
      <c r="B35">
        <f t="shared" si="2"/>
        <v>149.99999999999963</v>
      </c>
      <c r="C35" t="str">
        <f t="shared" si="0"/>
        <v>MM150</v>
      </c>
      <c r="D35" t="str">
        <f t="shared" si="1"/>
        <v>Mile Marker 150 to 150.2</v>
      </c>
      <c r="E35" t="s">
        <v>236</v>
      </c>
    </row>
    <row r="36" spans="1:5" x14ac:dyDescent="0.25">
      <c r="A36" s="4">
        <v>150.19999999999999</v>
      </c>
      <c r="B36">
        <f t="shared" si="2"/>
        <v>150.19999999999962</v>
      </c>
      <c r="C36" t="str">
        <f t="shared" si="0"/>
        <v>MM150.2</v>
      </c>
      <c r="D36" t="str">
        <f t="shared" si="1"/>
        <v>Mile Marker 150.2 to 150.4</v>
      </c>
      <c r="E36" t="s">
        <v>236</v>
      </c>
    </row>
    <row r="37" spans="1:5" x14ac:dyDescent="0.25">
      <c r="A37" s="4">
        <v>150.4</v>
      </c>
      <c r="B37">
        <f t="shared" si="2"/>
        <v>150.39999999999961</v>
      </c>
      <c r="C37" t="str">
        <f t="shared" si="0"/>
        <v>MM150.4</v>
      </c>
      <c r="D37" t="str">
        <f t="shared" si="1"/>
        <v>Mile Marker 150.4 to 150.6</v>
      </c>
      <c r="E37" t="s">
        <v>236</v>
      </c>
    </row>
    <row r="38" spans="1:5" x14ac:dyDescent="0.25">
      <c r="A38" s="4">
        <v>150.6</v>
      </c>
      <c r="B38">
        <f t="shared" si="2"/>
        <v>150.5999999999996</v>
      </c>
      <c r="C38" t="str">
        <f t="shared" si="0"/>
        <v>MM150.6</v>
      </c>
      <c r="D38" t="str">
        <f t="shared" si="1"/>
        <v>Mile Marker 150.6 to 150.8</v>
      </c>
      <c r="E38" t="s">
        <v>236</v>
      </c>
    </row>
    <row r="39" spans="1:5" x14ac:dyDescent="0.25">
      <c r="A39" s="4">
        <v>150.80000000000001</v>
      </c>
      <c r="B39">
        <f t="shared" si="2"/>
        <v>150.79999999999959</v>
      </c>
      <c r="C39" t="str">
        <f t="shared" si="0"/>
        <v>MM150.8</v>
      </c>
      <c r="D39" t="str">
        <f t="shared" si="1"/>
        <v>Mile Marker 150.8 to 151</v>
      </c>
      <c r="E39" t="s">
        <v>236</v>
      </c>
    </row>
    <row r="40" spans="1:5" x14ac:dyDescent="0.25">
      <c r="A40" s="4">
        <v>151</v>
      </c>
      <c r="B40">
        <f t="shared" si="2"/>
        <v>150.99999999999957</v>
      </c>
      <c r="C40" t="str">
        <f t="shared" si="0"/>
        <v>MM151</v>
      </c>
      <c r="D40" t="str">
        <f t="shared" si="1"/>
        <v>Mile Marker 151 to 151.2</v>
      </c>
      <c r="E40" t="s">
        <v>236</v>
      </c>
    </row>
    <row r="41" spans="1:5" x14ac:dyDescent="0.25">
      <c r="A41" s="4">
        <v>151.19999999999999</v>
      </c>
      <c r="B41">
        <f t="shared" si="2"/>
        <v>151.19999999999956</v>
      </c>
      <c r="C41" t="str">
        <f t="shared" si="0"/>
        <v>MM151.2</v>
      </c>
      <c r="D41" t="str">
        <f t="shared" si="1"/>
        <v>Mile Marker 151.2 to 151.4</v>
      </c>
      <c r="E41" t="s">
        <v>236</v>
      </c>
    </row>
    <row r="42" spans="1:5" x14ac:dyDescent="0.25">
      <c r="A42" s="4">
        <v>151.4</v>
      </c>
      <c r="B42">
        <f t="shared" si="2"/>
        <v>151.39999999999955</v>
      </c>
      <c r="C42" t="str">
        <f t="shared" si="0"/>
        <v>MM151.4</v>
      </c>
      <c r="D42" t="str">
        <f t="shared" si="1"/>
        <v>Mile Marker 151.4 to 151.6</v>
      </c>
      <c r="E42" t="s">
        <v>236</v>
      </c>
    </row>
    <row r="43" spans="1:5" x14ac:dyDescent="0.25">
      <c r="A43" s="4">
        <v>151.6</v>
      </c>
      <c r="B43">
        <f t="shared" si="2"/>
        <v>151.59999999999954</v>
      </c>
      <c r="C43" t="str">
        <f t="shared" si="0"/>
        <v>MM151.6</v>
      </c>
      <c r="D43" t="str">
        <f t="shared" si="1"/>
        <v>Mile Marker 151.6 to 151.8</v>
      </c>
      <c r="E43" t="s">
        <v>236</v>
      </c>
    </row>
    <row r="44" spans="1:5" x14ac:dyDescent="0.25">
      <c r="A44" s="4">
        <v>151.80000000000001</v>
      </c>
      <c r="B44">
        <f t="shared" si="2"/>
        <v>151.79999999999953</v>
      </c>
      <c r="C44" t="str">
        <f t="shared" si="0"/>
        <v>MM151.8</v>
      </c>
      <c r="D44" t="str">
        <f t="shared" si="1"/>
        <v>Mile Marker 151.8 to 152</v>
      </c>
      <c r="E44" t="s">
        <v>236</v>
      </c>
    </row>
    <row r="45" spans="1:5" x14ac:dyDescent="0.25">
      <c r="A45" s="4">
        <v>152</v>
      </c>
      <c r="B45">
        <f t="shared" si="2"/>
        <v>151.99999999999952</v>
      </c>
      <c r="C45" t="str">
        <f t="shared" si="0"/>
        <v>MM152</v>
      </c>
      <c r="D45" t="str">
        <f t="shared" si="1"/>
        <v>Mile Marker 152 to 152.2</v>
      </c>
      <c r="E45" t="s">
        <v>236</v>
      </c>
    </row>
    <row r="46" spans="1:5" x14ac:dyDescent="0.25">
      <c r="A46" s="4">
        <v>152.19999999999999</v>
      </c>
      <c r="B46">
        <f t="shared" si="2"/>
        <v>152.19999999999951</v>
      </c>
      <c r="C46" t="str">
        <f t="shared" si="0"/>
        <v>MM152.2</v>
      </c>
      <c r="D46" t="str">
        <f t="shared" si="1"/>
        <v>Mile Marker 152.2 to 152.4</v>
      </c>
      <c r="E46" t="s">
        <v>236</v>
      </c>
    </row>
    <row r="47" spans="1:5" x14ac:dyDescent="0.25">
      <c r="A47" s="4">
        <v>152.4</v>
      </c>
      <c r="B47">
        <v>152.4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9"/>
  <sheetViews>
    <sheetView zoomScale="80" zoomScaleNormal="80" workbookViewId="0">
      <selection sqref="A1:A1048576"/>
    </sheetView>
  </sheetViews>
  <sheetFormatPr defaultRowHeight="15" x14ac:dyDescent="0.25"/>
  <cols>
    <col min="1" max="1" width="15" style="8" customWidth="1"/>
    <col min="2" max="2" width="13.140625" bestFit="1" customWidth="1"/>
    <col min="3" max="3" width="26.7109375" bestFit="1" customWidth="1"/>
    <col min="4" max="4" width="18.85546875" customWidth="1"/>
  </cols>
  <sheetData>
    <row r="1" spans="1:4" x14ac:dyDescent="0.25">
      <c r="A1" s="8" t="s">
        <v>231</v>
      </c>
      <c r="B1" t="s">
        <v>233</v>
      </c>
      <c r="C1" t="s">
        <v>234</v>
      </c>
      <c r="D1" t="s">
        <v>235</v>
      </c>
    </row>
    <row r="2" spans="1:4" x14ac:dyDescent="0.25">
      <c r="A2" s="8">
        <v>152.4</v>
      </c>
      <c r="B2" t="str">
        <f t="shared" ref="B2:B18" si="0">"MM" &amp; A2</f>
        <v>MM152.4</v>
      </c>
      <c r="C2" t="str">
        <f t="shared" ref="C2:C18" si="1">"Mile Marker " &amp; A2 &amp; " to " &amp; A3</f>
        <v>Mile Marker 152.4 to 152.6</v>
      </c>
      <c r="D2" t="s">
        <v>237</v>
      </c>
    </row>
    <row r="3" spans="1:4" x14ac:dyDescent="0.25">
      <c r="A3" s="8">
        <v>152.6</v>
      </c>
      <c r="B3" t="str">
        <f t="shared" si="0"/>
        <v>MM152.6</v>
      </c>
      <c r="C3" t="str">
        <f t="shared" si="1"/>
        <v>Mile Marker 152.6 to 152.8</v>
      </c>
      <c r="D3" t="s">
        <v>237</v>
      </c>
    </row>
    <row r="4" spans="1:4" x14ac:dyDescent="0.25">
      <c r="A4" s="8">
        <v>152.80000000000001</v>
      </c>
      <c r="B4" t="str">
        <f t="shared" si="0"/>
        <v>MM152.8</v>
      </c>
      <c r="C4" t="str">
        <f t="shared" si="1"/>
        <v>Mile Marker 152.8 to 153</v>
      </c>
      <c r="D4" t="s">
        <v>237</v>
      </c>
    </row>
    <row r="5" spans="1:4" x14ac:dyDescent="0.25">
      <c r="A5" s="8">
        <v>153</v>
      </c>
      <c r="B5" t="str">
        <f t="shared" si="0"/>
        <v>MM153</v>
      </c>
      <c r="C5" t="str">
        <f t="shared" si="1"/>
        <v>Mile Marker 153 to 153.2</v>
      </c>
      <c r="D5" t="s">
        <v>237</v>
      </c>
    </row>
    <row r="6" spans="1:4" x14ac:dyDescent="0.25">
      <c r="A6" s="8">
        <v>153.19999999999999</v>
      </c>
      <c r="B6" t="str">
        <f t="shared" si="0"/>
        <v>MM153.2</v>
      </c>
      <c r="C6" t="str">
        <f t="shared" si="1"/>
        <v>Mile Marker 153.2 to 153.4</v>
      </c>
      <c r="D6" t="s">
        <v>237</v>
      </c>
    </row>
    <row r="7" spans="1:4" x14ac:dyDescent="0.25">
      <c r="A7" s="8">
        <v>153.4</v>
      </c>
      <c r="B7" t="str">
        <f t="shared" si="0"/>
        <v>MM153.4</v>
      </c>
      <c r="C7" t="str">
        <f t="shared" si="1"/>
        <v>Mile Marker 153.4 to 153.6</v>
      </c>
      <c r="D7" t="s">
        <v>237</v>
      </c>
    </row>
    <row r="8" spans="1:4" x14ac:dyDescent="0.25">
      <c r="A8" s="8">
        <v>153.6</v>
      </c>
      <c r="B8" t="str">
        <f t="shared" si="0"/>
        <v>MM153.6</v>
      </c>
      <c r="C8" t="str">
        <f t="shared" si="1"/>
        <v>Mile Marker 153.6 to 153.8</v>
      </c>
      <c r="D8" t="s">
        <v>237</v>
      </c>
    </row>
    <row r="9" spans="1:4" x14ac:dyDescent="0.25">
      <c r="A9" s="8">
        <v>153.80000000000001</v>
      </c>
      <c r="B9" t="str">
        <f t="shared" si="0"/>
        <v>MM153.8</v>
      </c>
      <c r="C9" t="str">
        <f t="shared" si="1"/>
        <v>Mile Marker 153.8 to 154</v>
      </c>
      <c r="D9" t="s">
        <v>237</v>
      </c>
    </row>
    <row r="10" spans="1:4" x14ac:dyDescent="0.25">
      <c r="A10" s="8">
        <v>154</v>
      </c>
      <c r="B10" t="str">
        <f t="shared" si="0"/>
        <v>MM154</v>
      </c>
      <c r="C10" t="str">
        <f t="shared" si="1"/>
        <v>Mile Marker 154 to 154.2</v>
      </c>
      <c r="D10" t="s">
        <v>237</v>
      </c>
    </row>
    <row r="11" spans="1:4" x14ac:dyDescent="0.25">
      <c r="A11" s="8">
        <v>154.19999999999999</v>
      </c>
      <c r="B11" t="str">
        <f t="shared" si="0"/>
        <v>MM154.2</v>
      </c>
      <c r="C11" t="str">
        <f t="shared" si="1"/>
        <v>Mile Marker 154.2 to 154.4</v>
      </c>
      <c r="D11" t="s">
        <v>237</v>
      </c>
    </row>
    <row r="12" spans="1:4" x14ac:dyDescent="0.25">
      <c r="A12" s="8">
        <v>154.4</v>
      </c>
      <c r="B12" t="str">
        <f t="shared" si="0"/>
        <v>MM154.4</v>
      </c>
      <c r="C12" t="str">
        <f t="shared" si="1"/>
        <v>Mile Marker 154.4 to 154.6</v>
      </c>
      <c r="D12" t="s">
        <v>237</v>
      </c>
    </row>
    <row r="13" spans="1:4" x14ac:dyDescent="0.25">
      <c r="A13" s="8">
        <v>154.6</v>
      </c>
      <c r="B13" t="str">
        <f t="shared" si="0"/>
        <v>MM154.6</v>
      </c>
      <c r="C13" t="str">
        <f t="shared" si="1"/>
        <v>Mile Marker 154.6 to 154.8</v>
      </c>
      <c r="D13" t="s">
        <v>237</v>
      </c>
    </row>
    <row r="14" spans="1:4" x14ac:dyDescent="0.25">
      <c r="A14" s="8">
        <v>154.80000000000001</v>
      </c>
      <c r="B14" t="str">
        <f t="shared" si="0"/>
        <v>MM154.8</v>
      </c>
      <c r="C14" t="str">
        <f t="shared" si="1"/>
        <v>Mile Marker 154.8 to 155</v>
      </c>
      <c r="D14" t="s">
        <v>237</v>
      </c>
    </row>
    <row r="15" spans="1:4" x14ac:dyDescent="0.25">
      <c r="A15" s="8">
        <v>155</v>
      </c>
      <c r="B15" t="str">
        <f t="shared" si="0"/>
        <v>MM155</v>
      </c>
      <c r="C15" t="str">
        <f t="shared" si="1"/>
        <v>Mile Marker 155 to 155.2</v>
      </c>
      <c r="D15" t="s">
        <v>237</v>
      </c>
    </row>
    <row r="16" spans="1:4" x14ac:dyDescent="0.25">
      <c r="A16" s="8">
        <v>155.19999999999999</v>
      </c>
      <c r="B16" t="str">
        <f t="shared" si="0"/>
        <v>MM155.2</v>
      </c>
      <c r="C16" t="str">
        <f t="shared" si="1"/>
        <v>Mile Marker 155.2 to 155.4</v>
      </c>
      <c r="D16" t="s">
        <v>237</v>
      </c>
    </row>
    <row r="17" spans="1:4" x14ac:dyDescent="0.25">
      <c r="A17" s="8">
        <v>155.4</v>
      </c>
      <c r="B17" t="str">
        <f t="shared" si="0"/>
        <v>MM155.4</v>
      </c>
      <c r="C17" t="str">
        <f t="shared" si="1"/>
        <v>Mile Marker 155.4 to 155.6</v>
      </c>
      <c r="D17" t="s">
        <v>237</v>
      </c>
    </row>
    <row r="18" spans="1:4" x14ac:dyDescent="0.25">
      <c r="A18" s="8">
        <v>155.6</v>
      </c>
      <c r="B18" t="str">
        <f t="shared" si="0"/>
        <v>MM155.6</v>
      </c>
      <c r="C18" t="str">
        <f t="shared" si="1"/>
        <v>Mile Marker 155.6 to 155.8</v>
      </c>
      <c r="D18" t="s">
        <v>237</v>
      </c>
    </row>
    <row r="19" spans="1:4" x14ac:dyDescent="0.25">
      <c r="A19" s="8">
        <v>155.80000000000001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9"/>
  <sheetViews>
    <sheetView zoomScale="80" zoomScaleNormal="80" workbookViewId="0">
      <selection activeCell="A2" sqref="A2"/>
    </sheetView>
  </sheetViews>
  <sheetFormatPr defaultRowHeight="15" x14ac:dyDescent="0.25"/>
  <cols>
    <col min="1" max="1" width="15" style="7" customWidth="1"/>
    <col min="2" max="2" width="12.5703125" customWidth="1"/>
    <col min="3" max="3" width="26.7109375" customWidth="1"/>
    <col min="4" max="4" width="12" bestFit="1" customWidth="1"/>
  </cols>
  <sheetData>
    <row r="1" spans="1:4" x14ac:dyDescent="0.25">
      <c r="A1" s="7" t="s">
        <v>231</v>
      </c>
      <c r="B1" t="s">
        <v>233</v>
      </c>
      <c r="C1" t="s">
        <v>234</v>
      </c>
      <c r="D1" t="s">
        <v>235</v>
      </c>
    </row>
    <row r="2" spans="1:4" x14ac:dyDescent="0.25">
      <c r="A2" s="7">
        <v>155.80000000000001</v>
      </c>
      <c r="B2" t="str">
        <f t="shared" ref="B2:B18" si="0">"MM" &amp; A2</f>
        <v>MM155.8</v>
      </c>
      <c r="C2" t="str">
        <f t="shared" ref="C2:C18" si="1">"Mile Marker " &amp; A2 &amp; " to " &amp; A3</f>
        <v>Mile Marker 155.8 to 156</v>
      </c>
      <c r="D2" t="s">
        <v>238</v>
      </c>
    </row>
    <row r="3" spans="1:4" x14ac:dyDescent="0.25">
      <c r="A3" s="7">
        <f>A2+0.2</f>
        <v>156</v>
      </c>
      <c r="B3" t="str">
        <f t="shared" si="0"/>
        <v>MM156</v>
      </c>
      <c r="C3" t="str">
        <f t="shared" si="1"/>
        <v>Mile Marker 156 to 156.2</v>
      </c>
      <c r="D3" t="s">
        <v>238</v>
      </c>
    </row>
    <row r="4" spans="1:4" x14ac:dyDescent="0.25">
      <c r="A4" s="7">
        <f t="shared" ref="A4:A18" si="2">A3+0.2</f>
        <v>156.19999999999999</v>
      </c>
      <c r="B4" t="str">
        <f t="shared" si="0"/>
        <v>MM156.2</v>
      </c>
      <c r="C4" t="str">
        <f t="shared" si="1"/>
        <v>Mile Marker 156.2 to 156.4</v>
      </c>
      <c r="D4" t="s">
        <v>238</v>
      </c>
    </row>
    <row r="5" spans="1:4" x14ac:dyDescent="0.25">
      <c r="A5" s="7">
        <f t="shared" si="2"/>
        <v>156.39999999999998</v>
      </c>
      <c r="B5" t="str">
        <f t="shared" si="0"/>
        <v>MM156.4</v>
      </c>
      <c r="C5" t="str">
        <f t="shared" si="1"/>
        <v>Mile Marker 156.4 to 156.6</v>
      </c>
      <c r="D5" t="s">
        <v>238</v>
      </c>
    </row>
    <row r="6" spans="1:4" x14ac:dyDescent="0.25">
      <c r="A6" s="7">
        <f t="shared" si="2"/>
        <v>156.59999999999997</v>
      </c>
      <c r="B6" t="str">
        <f t="shared" si="0"/>
        <v>MM156.6</v>
      </c>
      <c r="C6" t="str">
        <f t="shared" si="1"/>
        <v>Mile Marker 156.6 to 156.8</v>
      </c>
      <c r="D6" t="s">
        <v>238</v>
      </c>
    </row>
    <row r="7" spans="1:4" x14ac:dyDescent="0.25">
      <c r="A7" s="7">
        <f t="shared" si="2"/>
        <v>156.79999999999995</v>
      </c>
      <c r="B7" t="str">
        <f t="shared" si="0"/>
        <v>MM156.8</v>
      </c>
      <c r="C7" t="str">
        <f t="shared" si="1"/>
        <v>Mile Marker 156.8 to 157</v>
      </c>
      <c r="D7" t="s">
        <v>238</v>
      </c>
    </row>
    <row r="8" spans="1:4" x14ac:dyDescent="0.25">
      <c r="A8" s="7">
        <f t="shared" si="2"/>
        <v>156.99999999999994</v>
      </c>
      <c r="B8" t="str">
        <f t="shared" si="0"/>
        <v>MM157</v>
      </c>
      <c r="C8" t="str">
        <f t="shared" si="1"/>
        <v>Mile Marker 157 to 157.2</v>
      </c>
      <c r="D8" t="s">
        <v>238</v>
      </c>
    </row>
    <row r="9" spans="1:4" x14ac:dyDescent="0.25">
      <c r="A9" s="7">
        <f t="shared" si="2"/>
        <v>157.19999999999993</v>
      </c>
      <c r="B9" t="str">
        <f t="shared" si="0"/>
        <v>MM157.2</v>
      </c>
      <c r="C9" t="str">
        <f t="shared" si="1"/>
        <v>Mile Marker 157.2 to 157.4</v>
      </c>
      <c r="D9" t="s">
        <v>238</v>
      </c>
    </row>
    <row r="10" spans="1:4" x14ac:dyDescent="0.25">
      <c r="A10" s="7">
        <f t="shared" si="2"/>
        <v>157.39999999999992</v>
      </c>
      <c r="B10" t="str">
        <f t="shared" si="0"/>
        <v>MM157.4</v>
      </c>
      <c r="C10" t="str">
        <f t="shared" si="1"/>
        <v>Mile Marker 157.4 to 157.6</v>
      </c>
      <c r="D10" t="s">
        <v>238</v>
      </c>
    </row>
    <row r="11" spans="1:4" x14ac:dyDescent="0.25">
      <c r="A11" s="7">
        <f t="shared" si="2"/>
        <v>157.59999999999991</v>
      </c>
      <c r="B11" t="str">
        <f t="shared" si="0"/>
        <v>MM157.6</v>
      </c>
      <c r="C11" t="str">
        <f t="shared" si="1"/>
        <v>Mile Marker 157.6 to 157.8</v>
      </c>
      <c r="D11" t="s">
        <v>238</v>
      </c>
    </row>
    <row r="12" spans="1:4" x14ac:dyDescent="0.25">
      <c r="A12" s="7">
        <f t="shared" si="2"/>
        <v>157.7999999999999</v>
      </c>
      <c r="B12" t="str">
        <f t="shared" si="0"/>
        <v>MM157.8</v>
      </c>
      <c r="C12" t="str">
        <f t="shared" si="1"/>
        <v>Mile Marker 157.8 to 158</v>
      </c>
      <c r="D12" t="s">
        <v>238</v>
      </c>
    </row>
    <row r="13" spans="1:4" x14ac:dyDescent="0.25">
      <c r="A13" s="7">
        <f t="shared" si="2"/>
        <v>157.99999999999989</v>
      </c>
      <c r="B13" t="str">
        <f t="shared" si="0"/>
        <v>MM158</v>
      </c>
      <c r="C13" t="str">
        <f t="shared" si="1"/>
        <v>Mile Marker 158 to 158.2</v>
      </c>
      <c r="D13" t="s">
        <v>238</v>
      </c>
    </row>
    <row r="14" spans="1:4" x14ac:dyDescent="0.25">
      <c r="A14" s="7">
        <f t="shared" si="2"/>
        <v>158.19999999999987</v>
      </c>
      <c r="B14" t="str">
        <f t="shared" si="0"/>
        <v>MM158.2</v>
      </c>
      <c r="C14" t="str">
        <f t="shared" si="1"/>
        <v>Mile Marker 158.2 to 158.4</v>
      </c>
      <c r="D14" t="s">
        <v>238</v>
      </c>
    </row>
    <row r="15" spans="1:4" x14ac:dyDescent="0.25">
      <c r="A15" s="7">
        <f t="shared" si="2"/>
        <v>158.39999999999986</v>
      </c>
      <c r="B15" t="str">
        <f t="shared" si="0"/>
        <v>MM158.4</v>
      </c>
      <c r="C15" t="str">
        <f t="shared" si="1"/>
        <v>Mile Marker 158.4 to 158.6</v>
      </c>
      <c r="D15" t="s">
        <v>238</v>
      </c>
    </row>
    <row r="16" spans="1:4" x14ac:dyDescent="0.25">
      <c r="A16" s="7">
        <f t="shared" si="2"/>
        <v>158.59999999999985</v>
      </c>
      <c r="B16" t="str">
        <f t="shared" si="0"/>
        <v>MM158.6</v>
      </c>
      <c r="C16" t="str">
        <f t="shared" si="1"/>
        <v>Mile Marker 158.6 to 158.8</v>
      </c>
      <c r="D16" t="s">
        <v>238</v>
      </c>
    </row>
    <row r="17" spans="1:4" x14ac:dyDescent="0.25">
      <c r="A17" s="7">
        <f>A16+0.2</f>
        <v>158.79999999999984</v>
      </c>
      <c r="B17" t="str">
        <f t="shared" si="0"/>
        <v>MM158.8</v>
      </c>
      <c r="C17" t="str">
        <f t="shared" si="1"/>
        <v>Mile Marker 158.8 to 159</v>
      </c>
      <c r="D17" t="s">
        <v>238</v>
      </c>
    </row>
    <row r="18" spans="1:4" x14ac:dyDescent="0.25">
      <c r="A18" s="7">
        <f t="shared" si="2"/>
        <v>158.99999999999983</v>
      </c>
      <c r="B18" t="str">
        <f t="shared" si="0"/>
        <v>MM159</v>
      </c>
      <c r="C18" t="str">
        <f t="shared" si="1"/>
        <v>Mile Marker 159 to 159.2</v>
      </c>
      <c r="D18" t="s">
        <v>238</v>
      </c>
    </row>
    <row r="19" spans="1:4" x14ac:dyDescent="0.25">
      <c r="A19" s="7">
        <v>159.19999999999999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5"/>
  <sheetViews>
    <sheetView zoomScale="80" zoomScaleNormal="80" workbookViewId="0">
      <selection activeCell="A2" sqref="A2"/>
    </sheetView>
  </sheetViews>
  <sheetFormatPr defaultRowHeight="15" x14ac:dyDescent="0.25"/>
  <cols>
    <col min="1" max="1" width="15" style="7" customWidth="1"/>
    <col min="2" max="2" width="12.5703125" customWidth="1"/>
    <col min="3" max="3" width="26.7109375" bestFit="1" customWidth="1"/>
    <col min="4" max="4" width="11.5703125" bestFit="1" customWidth="1"/>
  </cols>
  <sheetData>
    <row r="1" spans="1:4" x14ac:dyDescent="0.25">
      <c r="A1" s="7" t="s">
        <v>231</v>
      </c>
      <c r="B1" t="s">
        <v>233</v>
      </c>
      <c r="C1" t="s">
        <v>234</v>
      </c>
      <c r="D1" t="s">
        <v>235</v>
      </c>
    </row>
    <row r="2" spans="1:4" x14ac:dyDescent="0.25">
      <c r="A2" s="7">
        <v>159.19999999999999</v>
      </c>
      <c r="B2" t="str">
        <f t="shared" ref="B2:B34" si="0">"MM" &amp; A2</f>
        <v>MM159.2</v>
      </c>
      <c r="C2" t="str">
        <f t="shared" ref="C2:C34" si="1">"Mile Marker " &amp; A2 &amp; " to " &amp; A3</f>
        <v>Mile Marker 159.2 to 159.4</v>
      </c>
      <c r="D2" t="s">
        <v>239</v>
      </c>
    </row>
    <row r="3" spans="1:4" x14ac:dyDescent="0.25">
      <c r="A3" s="7">
        <f>A2+0.2</f>
        <v>159.39999999999998</v>
      </c>
      <c r="B3" t="str">
        <f t="shared" si="0"/>
        <v>MM159.4</v>
      </c>
      <c r="C3" t="str">
        <f t="shared" si="1"/>
        <v>Mile Marker 159.4 to 159.6</v>
      </c>
      <c r="D3" t="s">
        <v>239</v>
      </c>
    </row>
    <row r="4" spans="1:4" x14ac:dyDescent="0.25">
      <c r="A4" s="7">
        <f t="shared" ref="A4:A33" si="2">A3+0.2</f>
        <v>159.59999999999997</v>
      </c>
      <c r="B4" t="str">
        <f t="shared" si="0"/>
        <v>MM159.6</v>
      </c>
      <c r="C4" t="str">
        <f t="shared" si="1"/>
        <v>Mile Marker 159.6 to 159.8</v>
      </c>
      <c r="D4" t="s">
        <v>239</v>
      </c>
    </row>
    <row r="5" spans="1:4" x14ac:dyDescent="0.25">
      <c r="A5" s="7">
        <f t="shared" si="2"/>
        <v>159.79999999999995</v>
      </c>
      <c r="B5" t="str">
        <f t="shared" si="0"/>
        <v>MM159.8</v>
      </c>
      <c r="C5" t="str">
        <f t="shared" si="1"/>
        <v>Mile Marker 159.8 to 160</v>
      </c>
      <c r="D5" t="s">
        <v>239</v>
      </c>
    </row>
    <row r="6" spans="1:4" x14ac:dyDescent="0.25">
      <c r="A6" s="7">
        <f t="shared" si="2"/>
        <v>159.99999999999994</v>
      </c>
      <c r="B6" t="str">
        <f t="shared" si="0"/>
        <v>MM160</v>
      </c>
      <c r="C6" t="str">
        <f t="shared" si="1"/>
        <v>Mile Marker 160 to 160.2</v>
      </c>
      <c r="D6" t="s">
        <v>239</v>
      </c>
    </row>
    <row r="7" spans="1:4" x14ac:dyDescent="0.25">
      <c r="A7" s="7">
        <f t="shared" si="2"/>
        <v>160.19999999999993</v>
      </c>
      <c r="B7" t="str">
        <f t="shared" si="0"/>
        <v>MM160.2</v>
      </c>
      <c r="C7" t="str">
        <f t="shared" si="1"/>
        <v>Mile Marker 160.2 to 160.4</v>
      </c>
      <c r="D7" t="s">
        <v>239</v>
      </c>
    </row>
    <row r="8" spans="1:4" x14ac:dyDescent="0.25">
      <c r="A8" s="7">
        <f t="shared" si="2"/>
        <v>160.39999999999992</v>
      </c>
      <c r="B8" t="str">
        <f t="shared" si="0"/>
        <v>MM160.4</v>
      </c>
      <c r="C8" t="str">
        <f t="shared" si="1"/>
        <v>Mile Marker 160.4 to 160.6</v>
      </c>
      <c r="D8" t="s">
        <v>239</v>
      </c>
    </row>
    <row r="9" spans="1:4" x14ac:dyDescent="0.25">
      <c r="A9" s="7">
        <f t="shared" si="2"/>
        <v>160.59999999999991</v>
      </c>
      <c r="B9" t="str">
        <f t="shared" si="0"/>
        <v>MM160.6</v>
      </c>
      <c r="C9" t="str">
        <f t="shared" si="1"/>
        <v>Mile Marker 160.6 to 160.8</v>
      </c>
      <c r="D9" t="s">
        <v>239</v>
      </c>
    </row>
    <row r="10" spans="1:4" x14ac:dyDescent="0.25">
      <c r="A10" s="7">
        <f t="shared" si="2"/>
        <v>160.7999999999999</v>
      </c>
      <c r="B10" t="str">
        <f t="shared" si="0"/>
        <v>MM160.8</v>
      </c>
      <c r="C10" t="str">
        <f t="shared" si="1"/>
        <v>Mile Marker 160.8 to 161</v>
      </c>
      <c r="D10" t="s">
        <v>239</v>
      </c>
    </row>
    <row r="11" spans="1:4" x14ac:dyDescent="0.25">
      <c r="A11" s="7">
        <f t="shared" si="2"/>
        <v>160.99999999999989</v>
      </c>
      <c r="B11" t="str">
        <f t="shared" si="0"/>
        <v>MM161</v>
      </c>
      <c r="C11" t="str">
        <f t="shared" si="1"/>
        <v>Mile Marker 161 to 161.2</v>
      </c>
      <c r="D11" t="s">
        <v>239</v>
      </c>
    </row>
    <row r="12" spans="1:4" x14ac:dyDescent="0.25">
      <c r="A12" s="7">
        <f t="shared" si="2"/>
        <v>161.19999999999987</v>
      </c>
      <c r="B12" t="str">
        <f t="shared" si="0"/>
        <v>MM161.2</v>
      </c>
      <c r="C12" t="str">
        <f t="shared" si="1"/>
        <v>Mile Marker 161.2 to 161.4</v>
      </c>
      <c r="D12" t="s">
        <v>239</v>
      </c>
    </row>
    <row r="13" spans="1:4" x14ac:dyDescent="0.25">
      <c r="A13" s="7">
        <f t="shared" si="2"/>
        <v>161.39999999999986</v>
      </c>
      <c r="B13" t="str">
        <f t="shared" si="0"/>
        <v>MM161.4</v>
      </c>
      <c r="C13" t="str">
        <f t="shared" si="1"/>
        <v>Mile Marker 161.4 to 161.6</v>
      </c>
      <c r="D13" t="s">
        <v>239</v>
      </c>
    </row>
    <row r="14" spans="1:4" x14ac:dyDescent="0.25">
      <c r="A14" s="7">
        <f t="shared" si="2"/>
        <v>161.59999999999985</v>
      </c>
      <c r="B14" t="str">
        <f t="shared" si="0"/>
        <v>MM161.6</v>
      </c>
      <c r="C14" t="str">
        <f t="shared" si="1"/>
        <v>Mile Marker 161.6 to 161.8</v>
      </c>
      <c r="D14" t="s">
        <v>239</v>
      </c>
    </row>
    <row r="15" spans="1:4" x14ac:dyDescent="0.25">
      <c r="A15" s="7">
        <f t="shared" si="2"/>
        <v>161.79999999999984</v>
      </c>
      <c r="B15" t="str">
        <f t="shared" si="0"/>
        <v>MM161.8</v>
      </c>
      <c r="C15" t="str">
        <f t="shared" si="1"/>
        <v>Mile Marker 161.8 to 162</v>
      </c>
      <c r="D15" t="s">
        <v>239</v>
      </c>
    </row>
    <row r="16" spans="1:4" x14ac:dyDescent="0.25">
      <c r="A16" s="7">
        <f t="shared" si="2"/>
        <v>161.99999999999983</v>
      </c>
      <c r="B16" t="str">
        <f t="shared" si="0"/>
        <v>MM162</v>
      </c>
      <c r="C16" t="str">
        <f t="shared" si="1"/>
        <v>Mile Marker 162 to 162.2</v>
      </c>
      <c r="D16" t="s">
        <v>239</v>
      </c>
    </row>
    <row r="17" spans="1:4" x14ac:dyDescent="0.25">
      <c r="A17" s="7">
        <f t="shared" si="2"/>
        <v>162.19999999999982</v>
      </c>
      <c r="B17" t="str">
        <f t="shared" si="0"/>
        <v>MM162.2</v>
      </c>
      <c r="C17" t="str">
        <f t="shared" si="1"/>
        <v>Mile Marker 162.2 to 162.4</v>
      </c>
      <c r="D17" t="s">
        <v>239</v>
      </c>
    </row>
    <row r="18" spans="1:4" x14ac:dyDescent="0.25">
      <c r="A18" s="7">
        <f t="shared" si="2"/>
        <v>162.39999999999981</v>
      </c>
      <c r="B18" t="str">
        <f t="shared" si="0"/>
        <v>MM162.4</v>
      </c>
      <c r="C18" t="str">
        <f t="shared" si="1"/>
        <v>Mile Marker 162.4 to 162.6</v>
      </c>
      <c r="D18" t="s">
        <v>239</v>
      </c>
    </row>
    <row r="19" spans="1:4" x14ac:dyDescent="0.25">
      <c r="A19" s="7">
        <f t="shared" si="2"/>
        <v>162.5999999999998</v>
      </c>
      <c r="B19" t="str">
        <f t="shared" si="0"/>
        <v>MM162.6</v>
      </c>
      <c r="C19" t="str">
        <f t="shared" si="1"/>
        <v>Mile Marker 162.6 to 162.8</v>
      </c>
      <c r="D19" t="s">
        <v>239</v>
      </c>
    </row>
    <row r="20" spans="1:4" x14ac:dyDescent="0.25">
      <c r="A20" s="7">
        <f t="shared" si="2"/>
        <v>162.79999999999978</v>
      </c>
      <c r="B20" t="str">
        <f t="shared" si="0"/>
        <v>MM162.8</v>
      </c>
      <c r="C20" t="str">
        <f t="shared" si="1"/>
        <v>Mile Marker 162.8 to 163</v>
      </c>
      <c r="D20" t="s">
        <v>239</v>
      </c>
    </row>
    <row r="21" spans="1:4" x14ac:dyDescent="0.25">
      <c r="A21" s="7">
        <f t="shared" si="2"/>
        <v>162.99999999999977</v>
      </c>
      <c r="B21" t="str">
        <f t="shared" si="0"/>
        <v>MM163</v>
      </c>
      <c r="C21" t="str">
        <f t="shared" si="1"/>
        <v>Mile Marker 163 to 163.2</v>
      </c>
      <c r="D21" t="s">
        <v>239</v>
      </c>
    </row>
    <row r="22" spans="1:4" x14ac:dyDescent="0.25">
      <c r="A22" s="7">
        <f t="shared" si="2"/>
        <v>163.19999999999976</v>
      </c>
      <c r="B22" t="str">
        <f t="shared" si="0"/>
        <v>MM163.2</v>
      </c>
      <c r="C22" t="str">
        <f t="shared" si="1"/>
        <v>Mile Marker 163.2 to 163.4</v>
      </c>
      <c r="D22" t="s">
        <v>239</v>
      </c>
    </row>
    <row r="23" spans="1:4" x14ac:dyDescent="0.25">
      <c r="A23" s="7">
        <f t="shared" si="2"/>
        <v>163.39999999999975</v>
      </c>
      <c r="B23" t="str">
        <f t="shared" si="0"/>
        <v>MM163.4</v>
      </c>
      <c r="C23" t="str">
        <f t="shared" si="1"/>
        <v>Mile Marker 163.4 to 163.6</v>
      </c>
      <c r="D23" t="s">
        <v>239</v>
      </c>
    </row>
    <row r="24" spans="1:4" x14ac:dyDescent="0.25">
      <c r="A24" s="7">
        <f t="shared" si="2"/>
        <v>163.59999999999974</v>
      </c>
      <c r="B24" t="str">
        <f t="shared" si="0"/>
        <v>MM163.6</v>
      </c>
      <c r="C24" t="str">
        <f t="shared" si="1"/>
        <v>Mile Marker 163.6 to 163.8</v>
      </c>
      <c r="D24" t="s">
        <v>239</v>
      </c>
    </row>
    <row r="25" spans="1:4" x14ac:dyDescent="0.25">
      <c r="A25" s="7">
        <f t="shared" si="2"/>
        <v>163.79999999999973</v>
      </c>
      <c r="B25" t="str">
        <f t="shared" si="0"/>
        <v>MM163.8</v>
      </c>
      <c r="C25" t="str">
        <f t="shared" si="1"/>
        <v>Mile Marker 163.8 to 164</v>
      </c>
      <c r="D25" t="s">
        <v>239</v>
      </c>
    </row>
    <row r="26" spans="1:4" x14ac:dyDescent="0.25">
      <c r="A26" s="7">
        <f t="shared" si="2"/>
        <v>163.99999999999972</v>
      </c>
      <c r="B26" t="str">
        <f t="shared" si="0"/>
        <v>MM164</v>
      </c>
      <c r="C26" t="str">
        <f t="shared" si="1"/>
        <v>Mile Marker 164 to 164.2</v>
      </c>
      <c r="D26" t="s">
        <v>239</v>
      </c>
    </row>
    <row r="27" spans="1:4" x14ac:dyDescent="0.25">
      <c r="A27" s="7">
        <f t="shared" si="2"/>
        <v>164.1999999999997</v>
      </c>
      <c r="B27" t="str">
        <f t="shared" si="0"/>
        <v>MM164.2</v>
      </c>
      <c r="C27" t="str">
        <f t="shared" si="1"/>
        <v>Mile Marker 164.2 to 164.4</v>
      </c>
      <c r="D27" t="s">
        <v>239</v>
      </c>
    </row>
    <row r="28" spans="1:4" x14ac:dyDescent="0.25">
      <c r="A28" s="7">
        <f t="shared" si="2"/>
        <v>164.39999999999969</v>
      </c>
      <c r="B28" t="str">
        <f t="shared" si="0"/>
        <v>MM164.4</v>
      </c>
      <c r="C28" t="str">
        <f t="shared" si="1"/>
        <v>Mile Marker 164.4 to 164.6</v>
      </c>
      <c r="D28" t="s">
        <v>239</v>
      </c>
    </row>
    <row r="29" spans="1:4" x14ac:dyDescent="0.25">
      <c r="A29" s="7">
        <f t="shared" si="2"/>
        <v>164.59999999999968</v>
      </c>
      <c r="B29" t="str">
        <f t="shared" si="0"/>
        <v>MM164.6</v>
      </c>
      <c r="C29" t="str">
        <f t="shared" si="1"/>
        <v>Mile Marker 164.6 to 164.8</v>
      </c>
      <c r="D29" t="s">
        <v>239</v>
      </c>
    </row>
    <row r="30" spans="1:4" x14ac:dyDescent="0.25">
      <c r="A30" s="7">
        <f t="shared" si="2"/>
        <v>164.79999999999967</v>
      </c>
      <c r="B30" t="str">
        <f t="shared" si="0"/>
        <v>MM164.8</v>
      </c>
      <c r="C30" t="str">
        <f t="shared" si="1"/>
        <v>Mile Marker 164.8 to 165</v>
      </c>
      <c r="D30" t="s">
        <v>239</v>
      </c>
    </row>
    <row r="31" spans="1:4" x14ac:dyDescent="0.25">
      <c r="A31" s="7">
        <f t="shared" si="2"/>
        <v>164.99999999999966</v>
      </c>
      <c r="B31" t="str">
        <f t="shared" si="0"/>
        <v>MM165</v>
      </c>
      <c r="C31" t="str">
        <f t="shared" si="1"/>
        <v>Mile Marker 165 to 165.2</v>
      </c>
      <c r="D31" t="s">
        <v>239</v>
      </c>
    </row>
    <row r="32" spans="1:4" x14ac:dyDescent="0.25">
      <c r="A32" s="7">
        <f t="shared" si="2"/>
        <v>165.19999999999965</v>
      </c>
      <c r="B32" t="str">
        <f t="shared" si="0"/>
        <v>MM165.2</v>
      </c>
      <c r="C32" t="str">
        <f t="shared" si="1"/>
        <v>Mile Marker 165.2 to 165.4</v>
      </c>
      <c r="D32" t="s">
        <v>239</v>
      </c>
    </row>
    <row r="33" spans="1:4" x14ac:dyDescent="0.25">
      <c r="A33" s="7">
        <f t="shared" si="2"/>
        <v>165.39999999999964</v>
      </c>
      <c r="B33" t="str">
        <f t="shared" si="0"/>
        <v>MM165.4</v>
      </c>
      <c r="C33" t="str">
        <f t="shared" si="1"/>
        <v>Mile Marker 165.4 to 165.6</v>
      </c>
      <c r="D33" t="s">
        <v>239</v>
      </c>
    </row>
    <row r="34" spans="1:4" x14ac:dyDescent="0.25">
      <c r="A34" s="7">
        <f>A33+0.2</f>
        <v>165.59999999999962</v>
      </c>
      <c r="B34" t="str">
        <f t="shared" si="0"/>
        <v>MM165.6</v>
      </c>
      <c r="C34" t="str">
        <f t="shared" si="1"/>
        <v>Mile Marker 165.6 to 165.8</v>
      </c>
      <c r="D34" t="s">
        <v>239</v>
      </c>
    </row>
    <row r="35" spans="1:4" x14ac:dyDescent="0.25">
      <c r="A35" s="7">
        <v>165.8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27"/>
  <sheetViews>
    <sheetView zoomScale="80" zoomScaleNormal="80" workbookViewId="0">
      <selection sqref="A1:A1048576"/>
    </sheetView>
  </sheetViews>
  <sheetFormatPr defaultRowHeight="15" x14ac:dyDescent="0.25"/>
  <cols>
    <col min="1" max="1" width="15" style="7" customWidth="1"/>
    <col min="2" max="2" width="12.5703125" customWidth="1"/>
    <col min="3" max="3" width="26.7109375" bestFit="1" customWidth="1"/>
    <col min="4" max="4" width="12" bestFit="1" customWidth="1"/>
  </cols>
  <sheetData>
    <row r="1" spans="1:4" x14ac:dyDescent="0.25">
      <c r="A1" s="7" t="s">
        <v>231</v>
      </c>
      <c r="B1" t="s">
        <v>233</v>
      </c>
      <c r="C1" t="s">
        <v>234</v>
      </c>
      <c r="D1" t="s">
        <v>235</v>
      </c>
    </row>
    <row r="2" spans="1:4" x14ac:dyDescent="0.25">
      <c r="A2" s="7">
        <v>165.8</v>
      </c>
      <c r="B2" t="str">
        <f t="shared" ref="B2:B26" si="0">"MM" &amp; A2</f>
        <v>MM165.8</v>
      </c>
      <c r="C2" t="str">
        <f t="shared" ref="C2:C26" si="1">"Mile Marker " &amp; A2 &amp; " to " &amp; A3</f>
        <v>Mile Marker 165.8 to 166</v>
      </c>
      <c r="D2" t="s">
        <v>240</v>
      </c>
    </row>
    <row r="3" spans="1:4" x14ac:dyDescent="0.25">
      <c r="A3" s="7">
        <f>A2+0.2</f>
        <v>166</v>
      </c>
      <c r="B3" t="str">
        <f t="shared" si="0"/>
        <v>MM166</v>
      </c>
      <c r="C3" t="str">
        <f t="shared" si="1"/>
        <v>Mile Marker 166 to 166.2</v>
      </c>
      <c r="D3" t="s">
        <v>240</v>
      </c>
    </row>
    <row r="4" spans="1:4" x14ac:dyDescent="0.25">
      <c r="A4" s="7">
        <f t="shared" ref="A4:A26" si="2">A3+0.2</f>
        <v>166.2</v>
      </c>
      <c r="B4" t="str">
        <f t="shared" si="0"/>
        <v>MM166.2</v>
      </c>
      <c r="C4" t="str">
        <f t="shared" si="1"/>
        <v>Mile Marker 166.2 to 166.4</v>
      </c>
      <c r="D4" t="s">
        <v>240</v>
      </c>
    </row>
    <row r="5" spans="1:4" x14ac:dyDescent="0.25">
      <c r="A5" s="7">
        <f t="shared" si="2"/>
        <v>166.39999999999998</v>
      </c>
      <c r="B5" t="str">
        <f t="shared" si="0"/>
        <v>MM166.4</v>
      </c>
      <c r="C5" t="str">
        <f t="shared" si="1"/>
        <v>Mile Marker 166.4 to 166.6</v>
      </c>
      <c r="D5" t="s">
        <v>240</v>
      </c>
    </row>
    <row r="6" spans="1:4" x14ac:dyDescent="0.25">
      <c r="A6" s="7">
        <f t="shared" si="2"/>
        <v>166.59999999999997</v>
      </c>
      <c r="B6" t="str">
        <f t="shared" si="0"/>
        <v>MM166.6</v>
      </c>
      <c r="C6" t="str">
        <f t="shared" si="1"/>
        <v>Mile Marker 166.6 to 166.8</v>
      </c>
      <c r="D6" t="s">
        <v>240</v>
      </c>
    </row>
    <row r="7" spans="1:4" x14ac:dyDescent="0.25">
      <c r="A7" s="7">
        <f t="shared" si="2"/>
        <v>166.79999999999995</v>
      </c>
      <c r="B7" t="str">
        <f t="shared" si="0"/>
        <v>MM166.8</v>
      </c>
      <c r="C7" t="str">
        <f t="shared" si="1"/>
        <v>Mile Marker 166.8 to 167</v>
      </c>
      <c r="D7" t="s">
        <v>240</v>
      </c>
    </row>
    <row r="8" spans="1:4" x14ac:dyDescent="0.25">
      <c r="A8" s="7">
        <f t="shared" si="2"/>
        <v>166.99999999999994</v>
      </c>
      <c r="B8" t="str">
        <f t="shared" si="0"/>
        <v>MM167</v>
      </c>
      <c r="C8" t="str">
        <f t="shared" si="1"/>
        <v>Mile Marker 167 to 167.2</v>
      </c>
      <c r="D8" t="s">
        <v>240</v>
      </c>
    </row>
    <row r="9" spans="1:4" x14ac:dyDescent="0.25">
      <c r="A9" s="7">
        <f t="shared" si="2"/>
        <v>167.19999999999993</v>
      </c>
      <c r="B9" t="str">
        <f t="shared" si="0"/>
        <v>MM167.2</v>
      </c>
      <c r="C9" t="str">
        <f t="shared" si="1"/>
        <v>Mile Marker 167.2 to 167.4</v>
      </c>
      <c r="D9" t="s">
        <v>240</v>
      </c>
    </row>
    <row r="10" spans="1:4" x14ac:dyDescent="0.25">
      <c r="A10" s="7">
        <f t="shared" si="2"/>
        <v>167.39999999999992</v>
      </c>
      <c r="B10" t="str">
        <f t="shared" si="0"/>
        <v>MM167.4</v>
      </c>
      <c r="C10" t="str">
        <f t="shared" si="1"/>
        <v>Mile Marker 167.4 to 167.6</v>
      </c>
      <c r="D10" t="s">
        <v>240</v>
      </c>
    </row>
    <row r="11" spans="1:4" x14ac:dyDescent="0.25">
      <c r="A11" s="7">
        <f t="shared" si="2"/>
        <v>167.59999999999991</v>
      </c>
      <c r="B11" t="str">
        <f t="shared" si="0"/>
        <v>MM167.6</v>
      </c>
      <c r="C11" t="str">
        <f t="shared" si="1"/>
        <v>Mile Marker 167.6 to 167.8</v>
      </c>
      <c r="D11" t="s">
        <v>240</v>
      </c>
    </row>
    <row r="12" spans="1:4" x14ac:dyDescent="0.25">
      <c r="A12" s="7">
        <f t="shared" si="2"/>
        <v>167.7999999999999</v>
      </c>
      <c r="B12" t="str">
        <f t="shared" si="0"/>
        <v>MM167.8</v>
      </c>
      <c r="C12" t="str">
        <f t="shared" si="1"/>
        <v>Mile Marker 167.8 to 168</v>
      </c>
      <c r="D12" t="s">
        <v>240</v>
      </c>
    </row>
    <row r="13" spans="1:4" x14ac:dyDescent="0.25">
      <c r="A13" s="7">
        <f t="shared" si="2"/>
        <v>167.99999999999989</v>
      </c>
      <c r="B13" t="str">
        <f t="shared" si="0"/>
        <v>MM168</v>
      </c>
      <c r="C13" t="str">
        <f t="shared" si="1"/>
        <v>Mile Marker 168 to 168.2</v>
      </c>
      <c r="D13" t="s">
        <v>240</v>
      </c>
    </row>
    <row r="14" spans="1:4" x14ac:dyDescent="0.25">
      <c r="A14" s="7">
        <f t="shared" si="2"/>
        <v>168.19999999999987</v>
      </c>
      <c r="B14" t="str">
        <f t="shared" si="0"/>
        <v>MM168.2</v>
      </c>
      <c r="C14" t="str">
        <f t="shared" si="1"/>
        <v>Mile Marker 168.2 to 168.4</v>
      </c>
      <c r="D14" t="s">
        <v>240</v>
      </c>
    </row>
    <row r="15" spans="1:4" x14ac:dyDescent="0.25">
      <c r="A15" s="7">
        <f t="shared" si="2"/>
        <v>168.39999999999986</v>
      </c>
      <c r="B15" t="str">
        <f t="shared" si="0"/>
        <v>MM168.4</v>
      </c>
      <c r="C15" t="str">
        <f t="shared" si="1"/>
        <v>Mile Marker 168.4 to 168.6</v>
      </c>
      <c r="D15" t="s">
        <v>240</v>
      </c>
    </row>
    <row r="16" spans="1:4" x14ac:dyDescent="0.25">
      <c r="A16" s="7">
        <f t="shared" si="2"/>
        <v>168.59999999999985</v>
      </c>
      <c r="B16" t="str">
        <f t="shared" si="0"/>
        <v>MM168.6</v>
      </c>
      <c r="C16" t="str">
        <f t="shared" si="1"/>
        <v>Mile Marker 168.6 to 168.8</v>
      </c>
      <c r="D16" t="s">
        <v>240</v>
      </c>
    </row>
    <row r="17" spans="1:4" x14ac:dyDescent="0.25">
      <c r="A17" s="7">
        <f t="shared" si="2"/>
        <v>168.79999999999984</v>
      </c>
      <c r="B17" t="str">
        <f t="shared" si="0"/>
        <v>MM168.8</v>
      </c>
      <c r="C17" t="str">
        <f t="shared" si="1"/>
        <v>Mile Marker 168.8 to 169</v>
      </c>
      <c r="D17" t="s">
        <v>240</v>
      </c>
    </row>
    <row r="18" spans="1:4" x14ac:dyDescent="0.25">
      <c r="A18" s="7">
        <f t="shared" si="2"/>
        <v>168.99999999999983</v>
      </c>
      <c r="B18" t="str">
        <f t="shared" si="0"/>
        <v>MM169</v>
      </c>
      <c r="C18" t="str">
        <f t="shared" si="1"/>
        <v>Mile Marker 169 to 169.2</v>
      </c>
      <c r="D18" t="s">
        <v>240</v>
      </c>
    </row>
    <row r="19" spans="1:4" x14ac:dyDescent="0.25">
      <c r="A19" s="7">
        <f t="shared" si="2"/>
        <v>169.19999999999982</v>
      </c>
      <c r="B19" t="str">
        <f t="shared" si="0"/>
        <v>MM169.2</v>
      </c>
      <c r="C19" t="str">
        <f t="shared" si="1"/>
        <v>Mile Marker 169.2 to 169.4</v>
      </c>
      <c r="D19" t="s">
        <v>240</v>
      </c>
    </row>
    <row r="20" spans="1:4" x14ac:dyDescent="0.25">
      <c r="A20" s="7">
        <f t="shared" si="2"/>
        <v>169.39999999999981</v>
      </c>
      <c r="B20" t="str">
        <f t="shared" si="0"/>
        <v>MM169.4</v>
      </c>
      <c r="C20" t="str">
        <f t="shared" si="1"/>
        <v>Mile Marker 169.4 to 169.6</v>
      </c>
      <c r="D20" t="s">
        <v>240</v>
      </c>
    </row>
    <row r="21" spans="1:4" x14ac:dyDescent="0.25">
      <c r="A21" s="7">
        <f t="shared" si="2"/>
        <v>169.5999999999998</v>
      </c>
      <c r="B21" t="str">
        <f t="shared" si="0"/>
        <v>MM169.6</v>
      </c>
      <c r="C21" t="str">
        <f t="shared" si="1"/>
        <v>Mile Marker 169.6 to 169.8</v>
      </c>
      <c r="D21" t="s">
        <v>240</v>
      </c>
    </row>
    <row r="22" spans="1:4" x14ac:dyDescent="0.25">
      <c r="A22" s="7">
        <f t="shared" si="2"/>
        <v>169.79999999999978</v>
      </c>
      <c r="B22" t="str">
        <f t="shared" si="0"/>
        <v>MM169.8</v>
      </c>
      <c r="C22" t="str">
        <f t="shared" si="1"/>
        <v>Mile Marker 169.8 to 170</v>
      </c>
      <c r="D22" t="s">
        <v>240</v>
      </c>
    </row>
    <row r="23" spans="1:4" x14ac:dyDescent="0.25">
      <c r="A23" s="7">
        <f t="shared" si="2"/>
        <v>169.99999999999977</v>
      </c>
      <c r="B23" t="str">
        <f t="shared" si="0"/>
        <v>MM170</v>
      </c>
      <c r="C23" t="str">
        <f t="shared" si="1"/>
        <v>Mile Marker 170 to 170.2</v>
      </c>
      <c r="D23" t="s">
        <v>240</v>
      </c>
    </row>
    <row r="24" spans="1:4" x14ac:dyDescent="0.25">
      <c r="A24" s="7">
        <f t="shared" si="2"/>
        <v>170.19999999999976</v>
      </c>
      <c r="B24" t="str">
        <f t="shared" si="0"/>
        <v>MM170.2</v>
      </c>
      <c r="C24" t="str">
        <f t="shared" si="1"/>
        <v>Mile Marker 170.2 to 170.4</v>
      </c>
      <c r="D24" t="s">
        <v>240</v>
      </c>
    </row>
    <row r="25" spans="1:4" x14ac:dyDescent="0.25">
      <c r="A25" s="7">
        <f t="shared" si="2"/>
        <v>170.39999999999975</v>
      </c>
      <c r="B25" t="str">
        <f t="shared" si="0"/>
        <v>MM170.4</v>
      </c>
      <c r="C25" t="str">
        <f t="shared" si="1"/>
        <v>Mile Marker 170.4 to 170.6</v>
      </c>
      <c r="D25" t="s">
        <v>240</v>
      </c>
    </row>
    <row r="26" spans="1:4" x14ac:dyDescent="0.25">
      <c r="A26" s="7">
        <f t="shared" si="2"/>
        <v>170.59999999999974</v>
      </c>
      <c r="B26" t="str">
        <f t="shared" si="0"/>
        <v>MM170.6</v>
      </c>
      <c r="C26" t="str">
        <f t="shared" si="1"/>
        <v>Mile Marker 170.6 to 170.8</v>
      </c>
      <c r="D26" t="s">
        <v>240</v>
      </c>
    </row>
    <row r="27" spans="1:4" x14ac:dyDescent="0.25">
      <c r="A27" s="7">
        <v>170.8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0"/>
  <sheetViews>
    <sheetView zoomScale="80" zoomScaleNormal="80" workbookViewId="0">
      <selection sqref="A1:A1048576"/>
    </sheetView>
  </sheetViews>
  <sheetFormatPr defaultRowHeight="15" x14ac:dyDescent="0.25"/>
  <cols>
    <col min="1" max="1" width="15" style="7" customWidth="1"/>
    <col min="2" max="2" width="12.5703125" customWidth="1"/>
    <col min="3" max="3" width="22.7109375" bestFit="1" customWidth="1"/>
    <col min="4" max="4" width="10.5703125" bestFit="1" customWidth="1"/>
  </cols>
  <sheetData>
    <row r="1" spans="1:4" x14ac:dyDescent="0.25">
      <c r="A1" s="7" t="s">
        <v>231</v>
      </c>
      <c r="B1" t="s">
        <v>233</v>
      </c>
      <c r="C1" t="s">
        <v>234</v>
      </c>
      <c r="D1" t="s">
        <v>235</v>
      </c>
    </row>
    <row r="2" spans="1:4" x14ac:dyDescent="0.25">
      <c r="A2" s="7">
        <v>0.6</v>
      </c>
      <c r="B2" t="str">
        <f t="shared" ref="B2:B9" si="0">"MM" &amp; A2</f>
        <v>MM0.6</v>
      </c>
      <c r="C2" t="str">
        <f t="shared" ref="C2:C9" si="1">"Mile Marker " &amp; A2 &amp; " to " &amp; A3</f>
        <v>Mile Marker 0.6 to 0.8</v>
      </c>
      <c r="D2" t="s">
        <v>241</v>
      </c>
    </row>
    <row r="3" spans="1:4" x14ac:dyDescent="0.25">
      <c r="A3" s="7">
        <f>A2+0.2</f>
        <v>0.8</v>
      </c>
      <c r="B3" t="str">
        <f t="shared" si="0"/>
        <v>MM0.8</v>
      </c>
      <c r="C3" t="str">
        <f t="shared" si="1"/>
        <v>Mile Marker 0.8 to 1</v>
      </c>
      <c r="D3" t="s">
        <v>241</v>
      </c>
    </row>
    <row r="4" spans="1:4" x14ac:dyDescent="0.25">
      <c r="A4" s="7">
        <f t="shared" ref="A4:A9" si="2">A3+0.2</f>
        <v>1</v>
      </c>
      <c r="B4" t="str">
        <f t="shared" si="0"/>
        <v>MM1</v>
      </c>
      <c r="C4" t="str">
        <f t="shared" si="1"/>
        <v>Mile Marker 1 to 1.2</v>
      </c>
      <c r="D4" t="s">
        <v>241</v>
      </c>
    </row>
    <row r="5" spans="1:4" x14ac:dyDescent="0.25">
      <c r="A5" s="7">
        <f t="shared" si="2"/>
        <v>1.2</v>
      </c>
      <c r="B5" t="str">
        <f t="shared" si="0"/>
        <v>MM1.2</v>
      </c>
      <c r="C5" t="str">
        <f t="shared" si="1"/>
        <v>Mile Marker 1.2 to 1.4</v>
      </c>
      <c r="D5" t="s">
        <v>241</v>
      </c>
    </row>
    <row r="6" spans="1:4" x14ac:dyDescent="0.25">
      <c r="A6" s="7">
        <f t="shared" si="2"/>
        <v>1.4</v>
      </c>
      <c r="B6" t="str">
        <f t="shared" si="0"/>
        <v>MM1.4</v>
      </c>
      <c r="C6" t="str">
        <f t="shared" si="1"/>
        <v>Mile Marker 1.4 to 1.6</v>
      </c>
      <c r="D6" t="s">
        <v>241</v>
      </c>
    </row>
    <row r="7" spans="1:4" x14ac:dyDescent="0.25">
      <c r="A7" s="7">
        <f t="shared" si="2"/>
        <v>1.5999999999999999</v>
      </c>
      <c r="B7" t="str">
        <f t="shared" si="0"/>
        <v>MM1.6</v>
      </c>
      <c r="C7" t="str">
        <f t="shared" si="1"/>
        <v>Mile Marker 1.6 to 1.8</v>
      </c>
      <c r="D7" t="s">
        <v>241</v>
      </c>
    </row>
    <row r="8" spans="1:4" x14ac:dyDescent="0.25">
      <c r="A8" s="7">
        <f t="shared" si="2"/>
        <v>1.7999999999999998</v>
      </c>
      <c r="B8" t="str">
        <f t="shared" si="0"/>
        <v>MM1.8</v>
      </c>
      <c r="C8" t="str">
        <f t="shared" si="1"/>
        <v>Mile Marker 1.8 to 2</v>
      </c>
      <c r="D8" t="s">
        <v>241</v>
      </c>
    </row>
    <row r="9" spans="1:4" x14ac:dyDescent="0.25">
      <c r="A9" s="7">
        <f t="shared" si="2"/>
        <v>1.9999999999999998</v>
      </c>
      <c r="B9" t="str">
        <f t="shared" si="0"/>
        <v>MM2</v>
      </c>
      <c r="C9" t="str">
        <f t="shared" si="1"/>
        <v>Mile Marker 2 to I-395</v>
      </c>
      <c r="D9" t="s">
        <v>241</v>
      </c>
    </row>
    <row r="10" spans="1:4" x14ac:dyDescent="0.25">
      <c r="A10" s="7" t="s">
        <v>242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11"/>
  <sheetViews>
    <sheetView tabSelected="1" topLeftCell="T1" workbookViewId="0">
      <selection activeCell="AI3" sqref="AI3"/>
    </sheetView>
  </sheetViews>
  <sheetFormatPr defaultRowHeight="11.25" x14ac:dyDescent="0.2"/>
  <cols>
    <col min="1" max="1" width="10.5703125" style="1" bestFit="1" customWidth="1"/>
    <col min="2" max="2" width="12.42578125" style="1" bestFit="1" customWidth="1"/>
    <col min="3" max="3" width="12.140625" style="1" bestFit="1" customWidth="1"/>
    <col min="4" max="4" width="18" style="1" bestFit="1" customWidth="1"/>
    <col min="5" max="5" width="79.42578125" style="1" bestFit="1" customWidth="1"/>
    <col min="6" max="6" width="16.5703125" style="1" bestFit="1" customWidth="1"/>
    <col min="7" max="7" width="12.85546875" style="1" bestFit="1" customWidth="1"/>
    <col min="8" max="8" width="12.42578125" style="1" bestFit="1" customWidth="1"/>
    <col min="9" max="9" width="11.7109375" style="1" bestFit="1" customWidth="1"/>
    <col min="10" max="10" width="12.7109375" style="1" bestFit="1" customWidth="1"/>
    <col min="11" max="11" width="11.28515625" style="1" bestFit="1" customWidth="1"/>
    <col min="12" max="12" width="14.42578125" style="1" bestFit="1" customWidth="1"/>
    <col min="13" max="13" width="26.5703125" style="1" bestFit="1" customWidth="1"/>
    <col min="14" max="14" width="20.28515625" style="1" bestFit="1" customWidth="1"/>
    <col min="15" max="15" width="11.140625" style="1" bestFit="1" customWidth="1"/>
    <col min="16" max="16" width="12.85546875" style="1" bestFit="1" customWidth="1"/>
    <col min="17" max="17" width="11.85546875" style="1" bestFit="1" customWidth="1"/>
    <col min="18" max="18" width="12.140625" style="1" bestFit="1" customWidth="1"/>
    <col min="19" max="19" width="11.5703125" style="1" bestFit="1" customWidth="1"/>
    <col min="20" max="20" width="12" style="1" bestFit="1" customWidth="1"/>
    <col min="21" max="21" width="8.28515625" style="1" bestFit="1" customWidth="1"/>
    <col min="22" max="22" width="16.28515625" style="1" bestFit="1" customWidth="1"/>
    <col min="23" max="23" width="11.140625" style="1" bestFit="1" customWidth="1"/>
    <col min="24" max="24" width="9.7109375" style="1" bestFit="1" customWidth="1"/>
    <col min="25" max="25" width="10.42578125" style="1" bestFit="1" customWidth="1"/>
    <col min="26" max="26" width="11.28515625" style="1" bestFit="1" customWidth="1"/>
    <col min="27" max="27" width="16.140625" style="1" bestFit="1" customWidth="1"/>
    <col min="28" max="28" width="24.5703125" style="1" bestFit="1" customWidth="1"/>
    <col min="29" max="29" width="21" style="1" bestFit="1" customWidth="1"/>
    <col min="30" max="30" width="14.42578125" style="1" bestFit="1" customWidth="1"/>
    <col min="31" max="31" width="19.5703125" style="1" bestFit="1" customWidth="1"/>
    <col min="32" max="32" width="15.7109375" style="1" bestFit="1" customWidth="1"/>
    <col min="33" max="33" width="13.140625" style="1" bestFit="1" customWidth="1"/>
    <col min="34" max="34" width="9.42578125" style="1" bestFit="1" customWidth="1"/>
    <col min="35" max="35" width="10.140625" style="1" bestFit="1" customWidth="1"/>
    <col min="36" max="36" width="20.28515625" style="1" bestFit="1" customWidth="1"/>
    <col min="37" max="37" width="14.28515625" style="1" bestFit="1" customWidth="1"/>
    <col min="38" max="38" width="14.140625" style="1" bestFit="1" customWidth="1"/>
    <col min="39" max="39" width="15.28515625" style="1" bestFit="1" customWidth="1"/>
    <col min="40" max="40" width="10.85546875" style="1" bestFit="1" customWidth="1"/>
    <col min="41" max="41" width="18.7109375" style="1" bestFit="1" customWidth="1"/>
    <col min="42" max="42" width="11.140625" style="1" bestFit="1" customWidth="1"/>
    <col min="43" max="43" width="13.28515625" style="1" bestFit="1" customWidth="1"/>
    <col min="44" max="44" width="14.85546875" style="1" bestFit="1" customWidth="1"/>
    <col min="45" max="45" width="19.5703125" style="1" bestFit="1" customWidth="1"/>
    <col min="46" max="46" width="14.7109375" style="1" bestFit="1" customWidth="1"/>
    <col min="47" max="47" width="14" style="1" bestFit="1" customWidth="1"/>
    <col min="48" max="48" width="10.7109375" style="1" bestFit="1" customWidth="1"/>
    <col min="49" max="49" width="11.85546875" style="1" bestFit="1" customWidth="1"/>
    <col min="50" max="50" width="13.85546875" style="1" bestFit="1" customWidth="1"/>
    <col min="51" max="51" width="12" style="1" bestFit="1" customWidth="1"/>
    <col min="52" max="52" width="11.5703125" style="1" bestFit="1" customWidth="1"/>
    <col min="53" max="53" width="9.28515625" style="1" bestFit="1" customWidth="1"/>
    <col min="54" max="54" width="11.5703125" style="1" bestFit="1" customWidth="1"/>
    <col min="55" max="55" width="12.140625" style="1" bestFit="1" customWidth="1"/>
    <col min="56" max="56" width="11.5703125" style="1" bestFit="1" customWidth="1"/>
    <col min="57" max="57" width="12" style="1" bestFit="1" customWidth="1"/>
    <col min="58" max="58" width="8.28515625" style="1" bestFit="1" customWidth="1"/>
    <col min="59" max="59" width="16.28515625" style="1" bestFit="1" customWidth="1"/>
    <col min="60" max="60" width="11.140625" style="1" bestFit="1" customWidth="1"/>
    <col min="61" max="61" width="9.7109375" style="1" bestFit="1" customWidth="1"/>
    <col min="62" max="62" width="10.42578125" style="1" bestFit="1" customWidth="1"/>
    <col min="63" max="63" width="11.28515625" style="1" bestFit="1" customWidth="1"/>
    <col min="64" max="64" width="16.140625" style="1" bestFit="1" customWidth="1"/>
    <col min="65" max="65" width="24.5703125" style="1" bestFit="1" customWidth="1"/>
    <col min="66" max="66" width="21" style="1" bestFit="1" customWidth="1"/>
    <col min="67" max="67" width="14.42578125" style="1" bestFit="1" customWidth="1"/>
    <col min="68" max="68" width="19.5703125" style="1" bestFit="1" customWidth="1"/>
    <col min="69" max="69" width="15.7109375" style="1" bestFit="1" customWidth="1"/>
    <col min="70" max="70" width="13.140625" style="1" bestFit="1" customWidth="1"/>
    <col min="71" max="71" width="9.42578125" style="1" bestFit="1" customWidth="1"/>
    <col min="72" max="72" width="10.140625" style="1" bestFit="1" customWidth="1"/>
    <col min="73" max="73" width="20.28515625" style="1" bestFit="1" customWidth="1"/>
    <col min="74" max="74" width="14.28515625" style="1" bestFit="1" customWidth="1"/>
    <col min="75" max="75" width="14.140625" style="1" bestFit="1" customWidth="1"/>
    <col min="76" max="76" width="15.28515625" style="1" bestFit="1" customWidth="1"/>
    <col min="77" max="77" width="10.85546875" style="1" bestFit="1" customWidth="1"/>
    <col min="78" max="78" width="18.7109375" style="1" bestFit="1" customWidth="1"/>
    <col min="79" max="79" width="11.140625" style="1" bestFit="1" customWidth="1"/>
    <col min="80" max="80" width="13.28515625" style="1" bestFit="1" customWidth="1"/>
    <col min="81" max="81" width="14.85546875" style="1" bestFit="1" customWidth="1"/>
    <col min="82" max="82" width="19.5703125" style="1" bestFit="1" customWidth="1"/>
    <col min="83" max="83" width="14.7109375" style="1" bestFit="1" customWidth="1"/>
    <col min="84" max="84" width="14" style="1" bestFit="1" customWidth="1"/>
    <col min="85" max="85" width="10.7109375" style="1" bestFit="1" customWidth="1"/>
    <col min="86" max="86" width="11.85546875" style="1" bestFit="1" customWidth="1"/>
    <col min="87" max="87" width="13.85546875" style="1" bestFit="1" customWidth="1"/>
    <col min="88" max="88" width="12" style="1" bestFit="1" customWidth="1"/>
    <col min="89" max="89" width="11.5703125" style="1" bestFit="1" customWidth="1"/>
    <col min="90" max="90" width="9.28515625" style="1" bestFit="1" customWidth="1"/>
    <col min="91" max="91" width="11.5703125" style="1" bestFit="1" customWidth="1"/>
    <col min="92" max="16384" width="9.140625" style="1"/>
  </cols>
  <sheetData>
    <row r="1" spans="1:54" x14ac:dyDescent="0.2">
      <c r="A1" s="1" t="s">
        <v>410</v>
      </c>
      <c r="B1" s="1" t="s">
        <v>411</v>
      </c>
      <c r="C1" s="1" t="s">
        <v>412</v>
      </c>
      <c r="D1" s="1" t="s">
        <v>413</v>
      </c>
      <c r="E1" s="1" t="s">
        <v>414</v>
      </c>
      <c r="F1" s="1" t="s">
        <v>415</v>
      </c>
      <c r="G1" s="1" t="s">
        <v>416</v>
      </c>
      <c r="H1" s="1" t="s">
        <v>417</v>
      </c>
      <c r="I1" s="1" t="s">
        <v>418</v>
      </c>
      <c r="J1" s="1" t="s">
        <v>419</v>
      </c>
      <c r="K1" s="1" t="s">
        <v>420</v>
      </c>
      <c r="L1" s="1" t="s">
        <v>421</v>
      </c>
      <c r="M1" s="1" t="s">
        <v>422</v>
      </c>
      <c r="N1" s="1" t="s">
        <v>423</v>
      </c>
      <c r="O1" s="1" t="s">
        <v>424</v>
      </c>
      <c r="P1" s="1" t="s">
        <v>425</v>
      </c>
      <c r="Q1" s="1" t="s">
        <v>426</v>
      </c>
      <c r="R1" s="1" t="s">
        <v>427</v>
      </c>
      <c r="S1" s="1" t="s">
        <v>428</v>
      </c>
      <c r="T1" s="1" t="s">
        <v>429</v>
      </c>
      <c r="U1" s="1" t="s">
        <v>430</v>
      </c>
      <c r="V1" s="1" t="s">
        <v>431</v>
      </c>
      <c r="W1" s="1" t="s">
        <v>432</v>
      </c>
      <c r="X1" s="1" t="s">
        <v>433</v>
      </c>
      <c r="Y1" s="1" t="s">
        <v>434</v>
      </c>
      <c r="Z1" s="1" t="s">
        <v>435</v>
      </c>
      <c r="AA1" s="1" t="s">
        <v>436</v>
      </c>
      <c r="AB1" s="1" t="s">
        <v>437</v>
      </c>
      <c r="AC1" s="1" t="s">
        <v>438</v>
      </c>
      <c r="AD1" s="1" t="s">
        <v>439</v>
      </c>
      <c r="AE1" s="1" t="s">
        <v>440</v>
      </c>
      <c r="AF1" s="1" t="s">
        <v>441</v>
      </c>
      <c r="AG1" s="1" t="s">
        <v>442</v>
      </c>
      <c r="AH1" s="1" t="s">
        <v>443</v>
      </c>
      <c r="AI1" s="1" t="s">
        <v>444</v>
      </c>
      <c r="AJ1" s="1" t="s">
        <v>445</v>
      </c>
      <c r="AK1" s="1" t="s">
        <v>446</v>
      </c>
      <c r="AL1" s="1" t="s">
        <v>447</v>
      </c>
      <c r="AM1" s="1" t="s">
        <v>448</v>
      </c>
      <c r="AN1" s="1" t="s">
        <v>449</v>
      </c>
      <c r="AO1" s="1" t="s">
        <v>450</v>
      </c>
      <c r="AP1" s="1" t="s">
        <v>451</v>
      </c>
      <c r="AQ1" s="1" t="s">
        <v>452</v>
      </c>
      <c r="AR1" s="1" t="s">
        <v>453</v>
      </c>
      <c r="AS1" s="1" t="s">
        <v>454</v>
      </c>
      <c r="AT1" s="1" t="s">
        <v>455</v>
      </c>
      <c r="AU1" s="1" t="s">
        <v>456</v>
      </c>
      <c r="AV1" s="1" t="s">
        <v>457</v>
      </c>
      <c r="AW1" s="1" t="s">
        <v>458</v>
      </c>
      <c r="AX1" s="1" t="s">
        <v>459</v>
      </c>
      <c r="AY1" s="1" t="s">
        <v>460</v>
      </c>
      <c r="AZ1" s="1" t="s">
        <v>461</v>
      </c>
      <c r="BA1" s="1" t="s">
        <v>462</v>
      </c>
      <c r="BB1" s="1" t="s">
        <v>463</v>
      </c>
    </row>
    <row r="2" spans="1:54" x14ac:dyDescent="0.2">
      <c r="D2" s="1">
        <v>0</v>
      </c>
      <c r="G2" s="1">
        <v>0</v>
      </c>
      <c r="I2" s="1">
        <v>0</v>
      </c>
      <c r="O2" s="1">
        <v>0</v>
      </c>
      <c r="P2" s="1">
        <v>1</v>
      </c>
      <c r="W2" s="1" t="s">
        <v>133</v>
      </c>
      <c r="X2" s="1" t="s">
        <v>404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H2" s="1" t="s">
        <v>133</v>
      </c>
      <c r="AI2" s="1" t="s">
        <v>134</v>
      </c>
      <c r="AP2" s="1">
        <v>0</v>
      </c>
    </row>
    <row r="3" spans="1:54" x14ac:dyDescent="0.2">
      <c r="A3" s="1">
        <v>64058</v>
      </c>
      <c r="B3" s="1" t="s">
        <v>464</v>
      </c>
      <c r="D3" s="1">
        <v>0</v>
      </c>
      <c r="E3" s="1" t="s">
        <v>465</v>
      </c>
      <c r="G3" s="1">
        <v>2</v>
      </c>
      <c r="I3" s="1">
        <v>0</v>
      </c>
      <c r="M3" s="1" t="s">
        <v>466</v>
      </c>
      <c r="N3" s="1" t="s">
        <v>467</v>
      </c>
      <c r="O3" s="1">
        <v>0</v>
      </c>
      <c r="P3" s="1">
        <v>1</v>
      </c>
      <c r="W3" s="1" t="s">
        <v>133</v>
      </c>
      <c r="X3" s="1" t="s">
        <v>404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H3" s="1" t="s">
        <v>133</v>
      </c>
      <c r="AI3" s="1" t="s">
        <v>468</v>
      </c>
      <c r="AJ3" s="1" t="s">
        <v>469</v>
      </c>
      <c r="AP3" s="1">
        <v>0</v>
      </c>
      <c r="AR3" s="1" t="s">
        <v>470</v>
      </c>
      <c r="AS3" s="1">
        <v>0</v>
      </c>
      <c r="AU3" s="1">
        <v>250</v>
      </c>
      <c r="AV3" s="1" t="s">
        <v>404</v>
      </c>
    </row>
    <row r="4" spans="1:54" x14ac:dyDescent="0.2">
      <c r="A4" s="1">
        <v>64058</v>
      </c>
      <c r="B4" s="1" t="s">
        <v>464</v>
      </c>
      <c r="D4" s="1">
        <v>0</v>
      </c>
      <c r="E4" s="1" t="s">
        <v>465</v>
      </c>
      <c r="G4" s="1">
        <v>2</v>
      </c>
      <c r="I4" s="1">
        <v>0</v>
      </c>
      <c r="M4" s="1" t="s">
        <v>466</v>
      </c>
      <c r="N4" s="1" t="s">
        <v>467</v>
      </c>
      <c r="O4" s="1">
        <v>0</v>
      </c>
      <c r="P4" s="1">
        <v>1</v>
      </c>
      <c r="W4" s="1" t="s">
        <v>133</v>
      </c>
      <c r="X4" s="1" t="s">
        <v>404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H4" s="1" t="s">
        <v>133</v>
      </c>
      <c r="AI4" s="1" t="s">
        <v>468</v>
      </c>
      <c r="AJ4" s="1" t="s">
        <v>469</v>
      </c>
      <c r="AP4" s="1">
        <v>0</v>
      </c>
      <c r="AR4" s="1" t="s">
        <v>471</v>
      </c>
      <c r="AS4" s="1">
        <v>0</v>
      </c>
      <c r="AU4" s="1">
        <v>45</v>
      </c>
      <c r="AV4" s="1" t="s">
        <v>404</v>
      </c>
    </row>
    <row r="5" spans="1:54" x14ac:dyDescent="0.2">
      <c r="A5" s="1">
        <v>64059</v>
      </c>
      <c r="B5" s="1" t="s">
        <v>472</v>
      </c>
      <c r="D5" s="1">
        <v>0</v>
      </c>
      <c r="E5" s="1" t="s">
        <v>473</v>
      </c>
      <c r="G5" s="1">
        <v>1</v>
      </c>
      <c r="I5" s="1">
        <v>0</v>
      </c>
      <c r="N5" s="1" t="s">
        <v>467</v>
      </c>
      <c r="O5" s="1">
        <v>0</v>
      </c>
      <c r="P5" s="1">
        <v>1</v>
      </c>
      <c r="W5" s="1" t="s">
        <v>133</v>
      </c>
      <c r="X5" s="1" t="s">
        <v>404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H5" s="1" t="s">
        <v>133</v>
      </c>
      <c r="AI5" s="1" t="s">
        <v>468</v>
      </c>
      <c r="AJ5" s="1" t="s">
        <v>474</v>
      </c>
      <c r="AP5" s="1">
        <v>0</v>
      </c>
    </row>
    <row r="11" spans="1:54" x14ac:dyDescent="0.2">
      <c r="A11" s="1" t="s">
        <v>250</v>
      </c>
      <c r="B11" s="1" t="s">
        <v>475</v>
      </c>
      <c r="D11" s="1" t="s">
        <v>251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29"/>
  <sheetViews>
    <sheetView zoomScaleNormal="100" workbookViewId="0">
      <selection activeCell="A30" sqref="A30:XFD30"/>
    </sheetView>
  </sheetViews>
  <sheetFormatPr defaultColWidth="8.85546875" defaultRowHeight="11.25" x14ac:dyDescent="0.2"/>
  <cols>
    <col min="1" max="1" width="8.5703125" style="1" bestFit="1" customWidth="1"/>
    <col min="2" max="2" width="9.140625" style="1" bestFit="1" customWidth="1"/>
    <col min="3" max="3" width="6.42578125" style="1" bestFit="1" customWidth="1"/>
    <col min="4" max="4" width="14.140625" style="1" bestFit="1" customWidth="1"/>
    <col min="5" max="5" width="12.140625" style="1" bestFit="1" customWidth="1"/>
    <col min="6" max="16384" width="8.85546875" style="1"/>
  </cols>
  <sheetData>
    <row r="1" spans="1:5" x14ac:dyDescent="0.2">
      <c r="A1" s="1" t="s">
        <v>253</v>
      </c>
      <c r="B1" s="1" t="s">
        <v>80</v>
      </c>
      <c r="C1" s="1" t="s">
        <v>405</v>
      </c>
      <c r="D1" s="1" t="s">
        <v>254</v>
      </c>
      <c r="E1" s="1" t="s">
        <v>255</v>
      </c>
    </row>
    <row r="2" spans="1:5" x14ac:dyDescent="0.2">
      <c r="A2" s="1" t="s">
        <v>256</v>
      </c>
      <c r="B2" s="1">
        <v>143.96</v>
      </c>
      <c r="C2" s="1">
        <v>1</v>
      </c>
      <c r="D2" s="1">
        <v>400</v>
      </c>
      <c r="E2" s="1">
        <v>50</v>
      </c>
    </row>
    <row r="3" spans="1:5" x14ac:dyDescent="0.2">
      <c r="A3" s="1" t="s">
        <v>257</v>
      </c>
      <c r="B3" s="1">
        <v>144</v>
      </c>
      <c r="C3" s="1">
        <v>1</v>
      </c>
      <c r="D3" s="1">
        <v>400</v>
      </c>
      <c r="E3" s="1">
        <v>50</v>
      </c>
    </row>
    <row r="4" spans="1:5" x14ac:dyDescent="0.2">
      <c r="A4" s="1" t="s">
        <v>258</v>
      </c>
      <c r="B4" s="1">
        <v>145.54</v>
      </c>
      <c r="C4" s="1">
        <v>1</v>
      </c>
      <c r="D4" s="1">
        <v>400</v>
      </c>
      <c r="E4" s="1">
        <v>50</v>
      </c>
    </row>
    <row r="5" spans="1:5" x14ac:dyDescent="0.2">
      <c r="A5" s="1" t="s">
        <v>259</v>
      </c>
      <c r="B5" s="1">
        <v>145.58000000000001</v>
      </c>
      <c r="C5" s="1">
        <v>1</v>
      </c>
      <c r="D5" s="1">
        <v>400</v>
      </c>
      <c r="E5" s="1">
        <v>50</v>
      </c>
    </row>
    <row r="6" spans="1:5" x14ac:dyDescent="0.2">
      <c r="A6" s="1" t="s">
        <v>260</v>
      </c>
      <c r="B6" s="1">
        <v>145.63</v>
      </c>
      <c r="C6" s="1">
        <v>1</v>
      </c>
      <c r="D6" s="1">
        <v>400</v>
      </c>
      <c r="E6" s="1">
        <v>50</v>
      </c>
    </row>
    <row r="7" spans="1:5" x14ac:dyDescent="0.2">
      <c r="A7" s="1" t="s">
        <v>261</v>
      </c>
      <c r="B7" s="1">
        <v>145.68</v>
      </c>
      <c r="C7" s="1">
        <v>1</v>
      </c>
      <c r="D7" s="1">
        <v>400</v>
      </c>
      <c r="E7" s="1">
        <v>50</v>
      </c>
    </row>
    <row r="8" spans="1:5" x14ac:dyDescent="0.2">
      <c r="A8" s="1" t="s">
        <v>262</v>
      </c>
      <c r="B8" s="1">
        <v>145.72999999999999</v>
      </c>
      <c r="C8" s="1">
        <v>1</v>
      </c>
      <c r="D8" s="1">
        <v>400</v>
      </c>
      <c r="E8" s="1">
        <v>50</v>
      </c>
    </row>
    <row r="9" spans="1:5" x14ac:dyDescent="0.2">
      <c r="A9" s="1" t="s">
        <v>263</v>
      </c>
      <c r="B9" s="1">
        <v>145.77000000000001</v>
      </c>
      <c r="C9" s="1">
        <v>1</v>
      </c>
      <c r="D9" s="1">
        <v>400</v>
      </c>
      <c r="E9" s="1">
        <v>50</v>
      </c>
    </row>
    <row r="10" spans="1:5" x14ac:dyDescent="0.2">
      <c r="A10" s="1" t="s">
        <v>264</v>
      </c>
      <c r="B10" s="1">
        <v>145.80000000000001</v>
      </c>
      <c r="C10" s="1">
        <v>1</v>
      </c>
      <c r="D10" s="1">
        <v>400</v>
      </c>
      <c r="E10" s="1">
        <v>50</v>
      </c>
    </row>
    <row r="11" spans="1:5" x14ac:dyDescent="0.2">
      <c r="A11" s="1" t="s">
        <v>265</v>
      </c>
      <c r="B11" s="1">
        <v>145.84</v>
      </c>
      <c r="C11" s="1">
        <v>1</v>
      </c>
      <c r="D11" s="1">
        <v>400</v>
      </c>
      <c r="E11" s="1">
        <v>50</v>
      </c>
    </row>
    <row r="12" spans="1:5" x14ac:dyDescent="0.2">
      <c r="A12" s="1" t="s">
        <v>266</v>
      </c>
      <c r="B12" s="1">
        <v>145.88</v>
      </c>
      <c r="C12" s="1">
        <v>1</v>
      </c>
      <c r="D12" s="1">
        <v>400</v>
      </c>
      <c r="E12" s="1">
        <v>50</v>
      </c>
    </row>
    <row r="13" spans="1:5" x14ac:dyDescent="0.2">
      <c r="A13" s="1" t="s">
        <v>267</v>
      </c>
      <c r="B13" s="1">
        <v>145.93</v>
      </c>
      <c r="C13" s="1">
        <v>1</v>
      </c>
      <c r="D13" s="1">
        <v>400</v>
      </c>
      <c r="E13" s="1">
        <v>50</v>
      </c>
    </row>
    <row r="14" spans="1:5" x14ac:dyDescent="0.2">
      <c r="A14" s="1" t="s">
        <v>268</v>
      </c>
      <c r="B14" s="1">
        <v>145.97</v>
      </c>
      <c r="C14" s="1">
        <v>1</v>
      </c>
      <c r="D14" s="1">
        <v>400</v>
      </c>
      <c r="E14" s="1">
        <v>50</v>
      </c>
    </row>
    <row r="15" spans="1:5" x14ac:dyDescent="0.2">
      <c r="A15" s="1" t="s">
        <v>269</v>
      </c>
      <c r="B15" s="1">
        <v>146.02000000000001</v>
      </c>
      <c r="C15" s="1">
        <v>1</v>
      </c>
      <c r="D15" s="1">
        <v>400</v>
      </c>
      <c r="E15" s="1">
        <v>50</v>
      </c>
    </row>
    <row r="16" spans="1:5" x14ac:dyDescent="0.2">
      <c r="A16" s="1" t="s">
        <v>270</v>
      </c>
      <c r="B16" s="1">
        <v>146.06</v>
      </c>
      <c r="C16" s="1">
        <v>1</v>
      </c>
      <c r="D16" s="1">
        <v>400</v>
      </c>
      <c r="E16" s="1">
        <v>50</v>
      </c>
    </row>
    <row r="17" spans="1:5" x14ac:dyDescent="0.2">
      <c r="A17" s="1" t="s">
        <v>271</v>
      </c>
      <c r="B17" s="1">
        <v>146.11000000000001</v>
      </c>
      <c r="C17" s="1">
        <v>1</v>
      </c>
      <c r="D17" s="1">
        <v>400</v>
      </c>
      <c r="E17" s="1">
        <v>50</v>
      </c>
    </row>
    <row r="18" spans="1:5" x14ac:dyDescent="0.2">
      <c r="A18" s="1" t="s">
        <v>272</v>
      </c>
      <c r="B18" s="1">
        <v>146.15</v>
      </c>
      <c r="C18" s="1">
        <v>1</v>
      </c>
      <c r="D18" s="1">
        <v>400</v>
      </c>
      <c r="E18" s="1">
        <v>50</v>
      </c>
    </row>
    <row r="19" spans="1:5" x14ac:dyDescent="0.2">
      <c r="A19" s="1" t="s">
        <v>273</v>
      </c>
      <c r="B19" s="1">
        <v>146.19999999999999</v>
      </c>
      <c r="C19" s="1">
        <v>1</v>
      </c>
      <c r="D19" s="1">
        <v>400</v>
      </c>
      <c r="E19" s="1">
        <v>50</v>
      </c>
    </row>
    <row r="20" spans="1:5" x14ac:dyDescent="0.2">
      <c r="A20" s="1" t="s">
        <v>274</v>
      </c>
      <c r="B20" s="1">
        <v>150.74</v>
      </c>
      <c r="C20" s="1">
        <v>1</v>
      </c>
      <c r="D20" s="1">
        <v>400</v>
      </c>
      <c r="E20" s="1">
        <v>50</v>
      </c>
    </row>
    <row r="21" spans="1:5" x14ac:dyDescent="0.2">
      <c r="A21" s="1" t="s">
        <v>275</v>
      </c>
      <c r="B21" s="1">
        <v>150.79</v>
      </c>
      <c r="C21" s="1">
        <v>1</v>
      </c>
      <c r="D21" s="1">
        <v>400</v>
      </c>
      <c r="E21" s="1">
        <v>50</v>
      </c>
    </row>
    <row r="22" spans="1:5" x14ac:dyDescent="0.2">
      <c r="A22" s="1" t="s">
        <v>276</v>
      </c>
      <c r="B22" s="1">
        <v>151.84</v>
      </c>
      <c r="C22" s="1">
        <v>1</v>
      </c>
      <c r="D22" s="1">
        <v>400</v>
      </c>
      <c r="E22" s="1">
        <v>50</v>
      </c>
    </row>
    <row r="23" spans="1:5" x14ac:dyDescent="0.2">
      <c r="A23" s="1" t="s">
        <v>277</v>
      </c>
      <c r="B23" s="1">
        <v>151.88999999999999</v>
      </c>
      <c r="C23" s="1">
        <v>1</v>
      </c>
      <c r="D23" s="1">
        <v>400</v>
      </c>
      <c r="E23" s="1">
        <v>50</v>
      </c>
    </row>
    <row r="24" spans="1:5" x14ac:dyDescent="0.2">
      <c r="A24" s="1" t="s">
        <v>278</v>
      </c>
      <c r="B24" s="1">
        <v>151.93</v>
      </c>
      <c r="C24" s="1">
        <v>1</v>
      </c>
      <c r="D24" s="1">
        <v>400</v>
      </c>
      <c r="E24" s="1">
        <v>50</v>
      </c>
    </row>
    <row r="25" spans="1:5" x14ac:dyDescent="0.2">
      <c r="A25" s="1" t="s">
        <v>279</v>
      </c>
      <c r="B25" s="1">
        <v>151.97999999999999</v>
      </c>
      <c r="C25" s="1">
        <v>1</v>
      </c>
      <c r="D25" s="1">
        <v>400</v>
      </c>
      <c r="E25" s="1">
        <v>40</v>
      </c>
    </row>
    <row r="26" spans="1:5" x14ac:dyDescent="0.2">
      <c r="A26" s="1" t="s">
        <v>280</v>
      </c>
      <c r="B26" s="1">
        <v>152.03</v>
      </c>
      <c r="C26" s="1">
        <v>1</v>
      </c>
      <c r="D26" s="1">
        <v>400</v>
      </c>
      <c r="E26" s="1">
        <v>50</v>
      </c>
    </row>
    <row r="27" spans="1:5" x14ac:dyDescent="0.2">
      <c r="A27" s="1" t="s">
        <v>281</v>
      </c>
      <c r="B27" s="1">
        <v>152.07</v>
      </c>
      <c r="C27" s="1">
        <v>1</v>
      </c>
      <c r="D27" s="1">
        <v>400</v>
      </c>
      <c r="E27" s="1">
        <v>50</v>
      </c>
    </row>
    <row r="28" spans="1:5" x14ac:dyDescent="0.2">
      <c r="A28" s="1" t="s">
        <v>282</v>
      </c>
      <c r="B28" s="1">
        <v>152.12</v>
      </c>
      <c r="C28" s="1">
        <v>1</v>
      </c>
      <c r="D28" s="1">
        <v>400</v>
      </c>
      <c r="E28" s="1">
        <v>50</v>
      </c>
    </row>
    <row r="29" spans="1:5" x14ac:dyDescent="0.2">
      <c r="A29" s="1" t="s">
        <v>283</v>
      </c>
      <c r="B29" s="1">
        <v>152.16</v>
      </c>
      <c r="C29" s="1">
        <v>1</v>
      </c>
      <c r="D29" s="1">
        <v>400</v>
      </c>
      <c r="E29" s="1">
        <v>50</v>
      </c>
    </row>
  </sheetData>
  <pageMargins left="0.7" right="0.7" top="0.75" bottom="0.75" header="0.3" footer="0.3"/>
  <pageSetup paperSize="3" fitToHeight="0" orientation="landscape" r:id="rId1"/>
  <headerFooter>
    <oddHeader>&amp;CSEGMENT 1: LIGHTING CIRCUIT INFORMATION</oddHeader>
    <oddFooter>&amp;CLIGHTING- JOMP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showWhiteSpace="0" view="pageLayout" zoomScaleNormal="100" workbookViewId="0">
      <selection activeCell="E3" sqref="E3"/>
    </sheetView>
  </sheetViews>
  <sheetFormatPr defaultColWidth="8.85546875" defaultRowHeight="11.25" x14ac:dyDescent="0.2"/>
  <cols>
    <col min="1" max="1" width="11.42578125" style="1" bestFit="1" customWidth="1"/>
    <col min="2" max="2" width="12.42578125" style="1" bestFit="1" customWidth="1"/>
    <col min="3" max="3" width="8.7109375" style="1" bestFit="1" customWidth="1"/>
    <col min="4" max="4" width="18.42578125" style="1" bestFit="1" customWidth="1"/>
    <col min="5" max="5" width="16.28515625" style="1" bestFit="1" customWidth="1"/>
    <col min="6" max="16384" width="8.85546875" style="1"/>
  </cols>
  <sheetData>
    <row r="1" spans="1:5" x14ac:dyDescent="0.2">
      <c r="A1" s="1" t="s">
        <v>253</v>
      </c>
      <c r="B1" s="1" t="s">
        <v>80</v>
      </c>
      <c r="C1" s="1" t="s">
        <v>405</v>
      </c>
      <c r="D1" s="1" t="s">
        <v>254</v>
      </c>
      <c r="E1" s="1" t="s">
        <v>255</v>
      </c>
    </row>
    <row r="2" spans="1:5" x14ac:dyDescent="0.2">
      <c r="A2" s="1" t="s">
        <v>285</v>
      </c>
      <c r="B2" s="1">
        <v>152.44999999999999</v>
      </c>
      <c r="C2" s="1">
        <v>1</v>
      </c>
      <c r="D2" s="1">
        <v>250</v>
      </c>
      <c r="E2" s="1">
        <v>50</v>
      </c>
    </row>
    <row r="3" spans="1:5" x14ac:dyDescent="0.2">
      <c r="A3" s="1" t="s">
        <v>284</v>
      </c>
      <c r="B3" s="1">
        <v>152.49</v>
      </c>
      <c r="C3" s="1">
        <v>1</v>
      </c>
      <c r="D3" s="1">
        <v>250</v>
      </c>
      <c r="E3" s="1">
        <v>50</v>
      </c>
    </row>
  </sheetData>
  <pageMargins left="0.7" right="0.7" top="0.75" bottom="0.75" header="0.3" footer="0.3"/>
  <pageSetup paperSize="3" orientation="landscape" r:id="rId1"/>
  <headerFooter>
    <oddHeader>&amp;CSEGMENT 2S: LIGHTING CIRCUIT INFORMATION</oddHeader>
    <oddFooter>&amp;CLIGHTING- JOMP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7"/>
  <sheetViews>
    <sheetView zoomScaleNormal="100" zoomScalePageLayoutView="89" workbookViewId="0">
      <selection activeCell="A4" sqref="A4:XFD5"/>
    </sheetView>
  </sheetViews>
  <sheetFormatPr defaultColWidth="8.85546875" defaultRowHeight="11.25" x14ac:dyDescent="0.2"/>
  <cols>
    <col min="1" max="1" width="11.140625" style="1" bestFit="1" customWidth="1"/>
    <col min="2" max="2" width="11.7109375" style="1" bestFit="1" customWidth="1"/>
    <col min="3" max="3" width="8.28515625" style="1" bestFit="1" customWidth="1"/>
    <col min="4" max="4" width="18" style="1" bestFit="1" customWidth="1"/>
    <col min="5" max="5" width="16" style="1" bestFit="1" customWidth="1"/>
    <col min="6" max="16384" width="8.85546875" style="1"/>
  </cols>
  <sheetData>
    <row r="1" spans="1:5" x14ac:dyDescent="0.2">
      <c r="A1" s="1" t="s">
        <v>253</v>
      </c>
      <c r="B1" s="1" t="s">
        <v>80</v>
      </c>
      <c r="C1" s="1" t="s">
        <v>405</v>
      </c>
      <c r="D1" s="1" t="s">
        <v>254</v>
      </c>
      <c r="E1" s="1" t="s">
        <v>255</v>
      </c>
    </row>
    <row r="2" spans="1:5" x14ac:dyDescent="0.2">
      <c r="A2" s="1" t="s">
        <v>286</v>
      </c>
      <c r="B2" s="1">
        <v>156.94999999999999</v>
      </c>
      <c r="C2" s="1">
        <v>1</v>
      </c>
      <c r="D2" s="1">
        <v>250</v>
      </c>
    </row>
    <row r="3" spans="1:5" x14ac:dyDescent="0.2">
      <c r="A3" s="1" t="s">
        <v>287</v>
      </c>
      <c r="B3" s="1">
        <v>156.97</v>
      </c>
      <c r="C3" s="1">
        <v>1</v>
      </c>
      <c r="D3" s="1">
        <v>250</v>
      </c>
    </row>
    <row r="4" spans="1:5" x14ac:dyDescent="0.2">
      <c r="A4" s="1" t="s">
        <v>288</v>
      </c>
      <c r="B4" s="1">
        <v>157</v>
      </c>
      <c r="C4" s="1">
        <v>1</v>
      </c>
      <c r="D4" s="1">
        <v>250</v>
      </c>
      <c r="E4" s="1">
        <v>40</v>
      </c>
    </row>
    <row r="5" spans="1:5" x14ac:dyDescent="0.2">
      <c r="A5" s="1" t="s">
        <v>289</v>
      </c>
      <c r="B5" s="1">
        <v>157.03</v>
      </c>
      <c r="C5" s="1">
        <v>1</v>
      </c>
      <c r="D5" s="1">
        <v>250</v>
      </c>
      <c r="E5" s="1">
        <v>40</v>
      </c>
    </row>
    <row r="6" spans="1:5" x14ac:dyDescent="0.2">
      <c r="A6" s="1" t="s">
        <v>290</v>
      </c>
      <c r="B6" s="1">
        <v>157.05000000000001</v>
      </c>
      <c r="C6" s="1">
        <v>1</v>
      </c>
      <c r="D6" s="1">
        <v>250</v>
      </c>
      <c r="E6" s="1">
        <v>40</v>
      </c>
    </row>
    <row r="7" spans="1:5" x14ac:dyDescent="0.2">
      <c r="A7" s="1" t="s">
        <v>291</v>
      </c>
      <c r="B7" s="1">
        <v>157.07</v>
      </c>
      <c r="C7" s="1">
        <v>1</v>
      </c>
      <c r="D7" s="1">
        <v>250</v>
      </c>
      <c r="E7" s="1">
        <v>40</v>
      </c>
    </row>
    <row r="8" spans="1:5" x14ac:dyDescent="0.2">
      <c r="A8" s="1" t="s">
        <v>292</v>
      </c>
      <c r="B8" s="1">
        <v>157.12</v>
      </c>
      <c r="C8" s="1">
        <v>1</v>
      </c>
      <c r="D8" s="1">
        <v>250</v>
      </c>
      <c r="E8" s="1">
        <v>40</v>
      </c>
    </row>
    <row r="9" spans="1:5" x14ac:dyDescent="0.2">
      <c r="A9" s="1" t="s">
        <v>293</v>
      </c>
      <c r="B9" s="1">
        <v>157.16</v>
      </c>
      <c r="C9" s="1">
        <v>1</v>
      </c>
      <c r="D9" s="1">
        <v>250</v>
      </c>
      <c r="E9" s="1">
        <v>40</v>
      </c>
    </row>
    <row r="10" spans="1:5" x14ac:dyDescent="0.2">
      <c r="A10" s="1" t="s">
        <v>294</v>
      </c>
      <c r="B10" s="1">
        <v>158.31</v>
      </c>
      <c r="C10" s="1">
        <v>1</v>
      </c>
      <c r="D10" s="1">
        <v>250</v>
      </c>
      <c r="E10" s="1">
        <v>40</v>
      </c>
    </row>
    <row r="11" spans="1:5" x14ac:dyDescent="0.2">
      <c r="A11" s="1" t="s">
        <v>295</v>
      </c>
      <c r="B11" s="1">
        <v>158.34</v>
      </c>
      <c r="C11" s="1">
        <v>1</v>
      </c>
      <c r="D11" s="1">
        <v>250</v>
      </c>
      <c r="E11" s="1">
        <v>40</v>
      </c>
    </row>
    <row r="12" spans="1:5" x14ac:dyDescent="0.2">
      <c r="A12" s="1" t="s">
        <v>296</v>
      </c>
      <c r="B12" s="1">
        <v>158.37</v>
      </c>
      <c r="C12" s="1">
        <v>1</v>
      </c>
      <c r="D12" s="1">
        <v>250</v>
      </c>
      <c r="E12" s="1">
        <v>40</v>
      </c>
    </row>
    <row r="13" spans="1:5" x14ac:dyDescent="0.2">
      <c r="A13" s="1" t="s">
        <v>297</v>
      </c>
      <c r="B13" s="1">
        <v>158.4</v>
      </c>
      <c r="C13" s="1">
        <v>1</v>
      </c>
      <c r="D13" s="1">
        <v>250</v>
      </c>
      <c r="E13" s="1">
        <v>40</v>
      </c>
    </row>
    <row r="14" spans="1:5" x14ac:dyDescent="0.2">
      <c r="A14" s="1" t="s">
        <v>298</v>
      </c>
      <c r="B14" s="1">
        <v>158.43</v>
      </c>
      <c r="C14" s="1">
        <v>1</v>
      </c>
      <c r="D14" s="1">
        <v>250</v>
      </c>
      <c r="E14" s="1">
        <v>40</v>
      </c>
    </row>
    <row r="15" spans="1:5" x14ac:dyDescent="0.2">
      <c r="A15" s="1" t="s">
        <v>299</v>
      </c>
      <c r="B15" s="1">
        <v>158.46</v>
      </c>
      <c r="C15" s="1">
        <v>1</v>
      </c>
      <c r="D15" s="1">
        <v>250</v>
      </c>
      <c r="E15" s="1">
        <v>40</v>
      </c>
    </row>
    <row r="16" spans="1:5" x14ac:dyDescent="0.2">
      <c r="A16" s="1" t="s">
        <v>300</v>
      </c>
      <c r="B16" s="1">
        <v>158.49</v>
      </c>
      <c r="C16" s="1">
        <v>1</v>
      </c>
      <c r="D16" s="1">
        <v>250</v>
      </c>
      <c r="E16" s="1">
        <v>40</v>
      </c>
    </row>
    <row r="17" spans="1:5" x14ac:dyDescent="0.2">
      <c r="A17" s="1" t="s">
        <v>301</v>
      </c>
      <c r="B17" s="1">
        <v>158.52000000000001</v>
      </c>
      <c r="C17" s="1">
        <v>1</v>
      </c>
      <c r="D17" s="1">
        <v>250</v>
      </c>
      <c r="E17" s="1">
        <v>40</v>
      </c>
    </row>
  </sheetData>
  <pageMargins left="0.7" right="0.7" top="0.75" bottom="0.75" header="0.3" footer="0.3"/>
  <pageSetup paperSize="3" orientation="landscape" r:id="rId1"/>
  <headerFooter>
    <oddHeader>&amp;CSEGMENT 2N: LIGHTING CIRCUIT INFORMATION</oddHeader>
    <oddFooter>&amp;CLIGHTING- JOMP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7"/>
  <sheetViews>
    <sheetView zoomScaleNormal="100" workbookViewId="0">
      <selection activeCell="E7" sqref="E7"/>
    </sheetView>
  </sheetViews>
  <sheetFormatPr defaultColWidth="8.85546875" defaultRowHeight="11.25" x14ac:dyDescent="0.2"/>
  <cols>
    <col min="1" max="1" width="11.140625" style="1" bestFit="1" customWidth="1"/>
    <col min="2" max="2" width="11.7109375" style="1" bestFit="1" customWidth="1"/>
    <col min="3" max="3" width="8" style="1" bestFit="1" customWidth="1"/>
    <col min="4" max="4" width="18" style="1" bestFit="1" customWidth="1"/>
    <col min="5" max="5" width="16" style="1" bestFit="1" customWidth="1"/>
    <col min="6" max="16384" width="8.85546875" style="1"/>
  </cols>
  <sheetData>
    <row r="1" spans="1:5" x14ac:dyDescent="0.2">
      <c r="A1" s="1" t="s">
        <v>253</v>
      </c>
      <c r="B1" s="1" t="s">
        <v>80</v>
      </c>
      <c r="C1" s="1" t="s">
        <v>406</v>
      </c>
      <c r="D1" s="1" t="s">
        <v>254</v>
      </c>
      <c r="E1" s="1" t="s">
        <v>255</v>
      </c>
    </row>
    <row r="2" spans="1:5" x14ac:dyDescent="0.2">
      <c r="A2" s="1" t="s">
        <v>302</v>
      </c>
      <c r="B2" s="1">
        <v>161.28</v>
      </c>
      <c r="C2" s="1">
        <v>1</v>
      </c>
      <c r="D2" s="1">
        <v>250</v>
      </c>
      <c r="E2" s="1">
        <v>40</v>
      </c>
    </row>
    <row r="3" spans="1:5" x14ac:dyDescent="0.2">
      <c r="A3" s="1" t="s">
        <v>303</v>
      </c>
      <c r="B3" s="1">
        <v>161.32</v>
      </c>
      <c r="C3" s="1">
        <v>1</v>
      </c>
      <c r="D3" s="1">
        <v>250</v>
      </c>
      <c r="E3" s="1">
        <v>40</v>
      </c>
    </row>
    <row r="4" spans="1:5" x14ac:dyDescent="0.2">
      <c r="A4" s="1" t="s">
        <v>304</v>
      </c>
      <c r="B4" s="1">
        <v>161.36000000000001</v>
      </c>
      <c r="C4" s="1">
        <v>1</v>
      </c>
      <c r="D4" s="1">
        <v>250</v>
      </c>
      <c r="E4" s="1">
        <v>40</v>
      </c>
    </row>
    <row r="5" spans="1:5" x14ac:dyDescent="0.2">
      <c r="A5" s="1" t="s">
        <v>305</v>
      </c>
      <c r="B5" s="1">
        <v>161.38999999999999</v>
      </c>
      <c r="C5" s="1">
        <v>1</v>
      </c>
      <c r="D5" s="1">
        <v>250</v>
      </c>
      <c r="E5" s="1">
        <v>40</v>
      </c>
    </row>
    <row r="6" spans="1:5" x14ac:dyDescent="0.2">
      <c r="A6" s="1" t="s">
        <v>306</v>
      </c>
      <c r="B6" s="1">
        <v>161.43</v>
      </c>
      <c r="C6" s="1">
        <v>1</v>
      </c>
      <c r="D6" s="1">
        <v>250</v>
      </c>
      <c r="E6" s="1">
        <v>40</v>
      </c>
    </row>
    <row r="7" spans="1:5" x14ac:dyDescent="0.2">
      <c r="A7" s="1" t="s">
        <v>307</v>
      </c>
      <c r="B7" s="1">
        <v>161.47</v>
      </c>
      <c r="C7" s="1">
        <v>1</v>
      </c>
      <c r="D7" s="1">
        <v>250</v>
      </c>
      <c r="E7" s="1">
        <v>40</v>
      </c>
    </row>
  </sheetData>
  <pageMargins left="0.7" right="0.7" top="0.75" bottom="0.75" header="0.3" footer="0.3"/>
  <pageSetup paperSize="3" fitToHeight="0" orientation="landscape" r:id="rId1"/>
  <headerFooter>
    <oddHeader>&amp;CSEGMENT 3S: LIGHTING CIRCUIT INFORMATION</oddHeader>
    <oddFooter>&amp;CLIGHTING- JOMP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9"/>
  <sheetViews>
    <sheetView zoomScaleNormal="100" zoomScalePageLayoutView="91" workbookViewId="0">
      <selection activeCell="B5" sqref="B5"/>
    </sheetView>
  </sheetViews>
  <sheetFormatPr defaultColWidth="8.85546875" defaultRowHeight="11.25" x14ac:dyDescent="0.2"/>
  <cols>
    <col min="1" max="1" width="11.140625" style="1" bestFit="1" customWidth="1"/>
    <col min="2" max="2" width="11.7109375" style="1" bestFit="1" customWidth="1"/>
    <col min="3" max="3" width="8.28515625" style="1" bestFit="1" customWidth="1"/>
    <col min="4" max="4" width="18" style="1" bestFit="1" customWidth="1"/>
    <col min="5" max="5" width="16" style="1" bestFit="1" customWidth="1"/>
    <col min="6" max="16384" width="8.85546875" style="1"/>
  </cols>
  <sheetData>
    <row r="1" spans="1:5" x14ac:dyDescent="0.2">
      <c r="A1" s="1" t="s">
        <v>253</v>
      </c>
      <c r="B1" s="1" t="s">
        <v>80</v>
      </c>
      <c r="C1" s="1" t="s">
        <v>405</v>
      </c>
      <c r="D1" s="1" t="s">
        <v>254</v>
      </c>
      <c r="E1" s="1" t="s">
        <v>255</v>
      </c>
    </row>
    <row r="2" spans="1:5" x14ac:dyDescent="0.2">
      <c r="A2" s="1" t="s">
        <v>308</v>
      </c>
      <c r="B2" s="1">
        <v>165.83</v>
      </c>
      <c r="C2" s="1">
        <v>1</v>
      </c>
      <c r="D2" s="1">
        <v>250</v>
      </c>
    </row>
    <row r="3" spans="1:5" x14ac:dyDescent="0.2">
      <c r="A3" s="1" t="s">
        <v>309</v>
      </c>
      <c r="B3" s="1">
        <v>166.1</v>
      </c>
      <c r="C3" s="1">
        <v>1</v>
      </c>
      <c r="D3" s="1">
        <v>250</v>
      </c>
      <c r="E3" s="1">
        <v>42</v>
      </c>
    </row>
    <row r="4" spans="1:5" x14ac:dyDescent="0.2">
      <c r="A4" s="1" t="s">
        <v>310</v>
      </c>
      <c r="B4" s="1">
        <v>166.09</v>
      </c>
      <c r="C4" s="1">
        <v>1</v>
      </c>
      <c r="D4" s="1">
        <v>250</v>
      </c>
      <c r="E4" s="1">
        <v>42</v>
      </c>
    </row>
    <row r="5" spans="1:5" x14ac:dyDescent="0.2">
      <c r="A5" s="1" t="s">
        <v>311</v>
      </c>
      <c r="B5" s="1">
        <v>166.136</v>
      </c>
      <c r="C5" s="1">
        <v>1</v>
      </c>
      <c r="D5" s="1">
        <v>250</v>
      </c>
      <c r="E5" s="1">
        <v>42</v>
      </c>
    </row>
    <row r="6" spans="1:5" x14ac:dyDescent="0.2">
      <c r="A6" s="1" t="s">
        <v>312</v>
      </c>
      <c r="B6" s="1">
        <v>166.13200000000001</v>
      </c>
      <c r="C6" s="1">
        <v>1</v>
      </c>
      <c r="D6" s="1">
        <v>250</v>
      </c>
      <c r="E6" s="1">
        <v>42</v>
      </c>
    </row>
    <row r="7" spans="1:5" x14ac:dyDescent="0.2">
      <c r="A7" s="1" t="s">
        <v>313</v>
      </c>
      <c r="B7" s="1">
        <v>166.16800000000001</v>
      </c>
      <c r="C7" s="1">
        <v>1</v>
      </c>
      <c r="D7" s="1">
        <v>250</v>
      </c>
      <c r="E7" s="1">
        <v>42</v>
      </c>
    </row>
    <row r="8" spans="1:5" x14ac:dyDescent="0.2">
      <c r="A8" s="1" t="s">
        <v>314</v>
      </c>
      <c r="B8" s="1">
        <v>166.16900000000001</v>
      </c>
      <c r="C8" s="1">
        <v>1</v>
      </c>
      <c r="D8" s="1">
        <v>250</v>
      </c>
      <c r="E8" s="1">
        <v>42</v>
      </c>
    </row>
    <row r="9" spans="1:5" x14ac:dyDescent="0.2">
      <c r="A9" s="1" t="s">
        <v>315</v>
      </c>
      <c r="B9" s="1">
        <v>166.19</v>
      </c>
      <c r="C9" s="1">
        <v>1</v>
      </c>
      <c r="D9" s="1">
        <v>250</v>
      </c>
      <c r="E9" s="1">
        <v>40</v>
      </c>
    </row>
    <row r="10" spans="1:5" x14ac:dyDescent="0.2">
      <c r="A10" s="1" t="s">
        <v>316</v>
      </c>
      <c r="B10" s="1">
        <v>166.23</v>
      </c>
      <c r="C10" s="1">
        <v>1</v>
      </c>
      <c r="D10" s="1">
        <v>250</v>
      </c>
      <c r="E10" s="1">
        <v>40</v>
      </c>
    </row>
    <row r="11" spans="1:5" x14ac:dyDescent="0.2">
      <c r="A11" s="1" t="s">
        <v>317</v>
      </c>
      <c r="B11" s="1">
        <v>166.26</v>
      </c>
      <c r="C11" s="1">
        <v>1</v>
      </c>
      <c r="D11" s="1">
        <v>250</v>
      </c>
      <c r="E11" s="1">
        <v>40</v>
      </c>
    </row>
    <row r="12" spans="1:5" x14ac:dyDescent="0.2">
      <c r="A12" s="1" t="s">
        <v>318</v>
      </c>
      <c r="B12" s="1">
        <v>166.29</v>
      </c>
      <c r="C12" s="1">
        <v>1</v>
      </c>
      <c r="D12" s="1">
        <v>250</v>
      </c>
      <c r="E12" s="1">
        <v>40</v>
      </c>
    </row>
    <row r="13" spans="1:5" x14ac:dyDescent="0.2">
      <c r="A13" s="1" t="s">
        <v>319</v>
      </c>
      <c r="B13" s="1">
        <v>166.32</v>
      </c>
      <c r="C13" s="1">
        <v>1</v>
      </c>
      <c r="D13" s="1">
        <v>250</v>
      </c>
      <c r="E13" s="1">
        <v>40</v>
      </c>
    </row>
    <row r="14" spans="1:5" x14ac:dyDescent="0.2">
      <c r="A14" s="1" t="s">
        <v>320</v>
      </c>
      <c r="B14" s="1">
        <v>166.35</v>
      </c>
      <c r="C14" s="1">
        <v>1</v>
      </c>
      <c r="D14" s="1">
        <v>250</v>
      </c>
      <c r="E14" s="1">
        <v>40</v>
      </c>
    </row>
    <row r="15" spans="1:5" x14ac:dyDescent="0.2">
      <c r="A15" s="1" t="s">
        <v>321</v>
      </c>
      <c r="B15" s="1">
        <v>166.38</v>
      </c>
      <c r="C15" s="1">
        <v>1</v>
      </c>
      <c r="D15" s="1">
        <v>250</v>
      </c>
      <c r="E15" s="1">
        <v>40</v>
      </c>
    </row>
    <row r="16" spans="1:5" x14ac:dyDescent="0.2">
      <c r="A16" s="1" t="s">
        <v>322</v>
      </c>
      <c r="B16" s="1">
        <v>166.41</v>
      </c>
      <c r="C16" s="1">
        <v>1</v>
      </c>
      <c r="D16" s="1">
        <v>250</v>
      </c>
      <c r="E16" s="1">
        <v>40</v>
      </c>
    </row>
    <row r="17" spans="1:5" x14ac:dyDescent="0.2">
      <c r="A17" s="1" t="s">
        <v>323</v>
      </c>
      <c r="B17" s="1">
        <v>166.59</v>
      </c>
      <c r="C17" s="1">
        <v>1</v>
      </c>
      <c r="D17" s="1">
        <v>250</v>
      </c>
      <c r="E17" s="1">
        <v>40</v>
      </c>
    </row>
    <row r="18" spans="1:5" x14ac:dyDescent="0.2">
      <c r="A18" s="1" t="s">
        <v>324</v>
      </c>
      <c r="B18" s="1">
        <v>166.62</v>
      </c>
      <c r="C18" s="1">
        <v>1</v>
      </c>
      <c r="D18" s="1">
        <v>250</v>
      </c>
      <c r="E18" s="1">
        <v>40</v>
      </c>
    </row>
    <row r="19" spans="1:5" x14ac:dyDescent="0.2">
      <c r="A19" s="1" t="s">
        <v>325</v>
      </c>
      <c r="B19" s="1">
        <v>166.59</v>
      </c>
      <c r="C19" s="1">
        <v>1</v>
      </c>
      <c r="D19" s="1">
        <v>250</v>
      </c>
      <c r="E19" s="1">
        <v>40</v>
      </c>
    </row>
    <row r="20" spans="1:5" x14ac:dyDescent="0.2">
      <c r="A20" s="1" t="s">
        <v>326</v>
      </c>
      <c r="B20" s="1">
        <v>167.27</v>
      </c>
      <c r="C20" s="1">
        <v>1</v>
      </c>
      <c r="D20" s="1">
        <v>250</v>
      </c>
      <c r="E20" s="1">
        <v>40</v>
      </c>
    </row>
    <row r="21" spans="1:5" x14ac:dyDescent="0.2">
      <c r="A21" s="1" t="s">
        <v>327</v>
      </c>
      <c r="B21" s="1">
        <v>167.3</v>
      </c>
      <c r="C21" s="1">
        <v>2</v>
      </c>
      <c r="D21" s="1">
        <v>250</v>
      </c>
      <c r="E21" s="1">
        <v>40</v>
      </c>
    </row>
    <row r="22" spans="1:5" x14ac:dyDescent="0.2">
      <c r="A22" s="1" t="s">
        <v>328</v>
      </c>
      <c r="B22" s="1">
        <v>167.91</v>
      </c>
      <c r="C22" s="1">
        <v>1</v>
      </c>
      <c r="D22" s="1">
        <v>250</v>
      </c>
      <c r="E22" s="1">
        <v>40</v>
      </c>
    </row>
    <row r="23" spans="1:5" x14ac:dyDescent="0.2">
      <c r="A23" s="1" t="s">
        <v>329</v>
      </c>
      <c r="B23" s="1">
        <v>167.94</v>
      </c>
      <c r="C23" s="1">
        <v>1</v>
      </c>
      <c r="D23" s="1">
        <v>250</v>
      </c>
      <c r="E23" s="1">
        <v>40</v>
      </c>
    </row>
    <row r="24" spans="1:5" x14ac:dyDescent="0.2">
      <c r="A24" s="1" t="s">
        <v>330</v>
      </c>
      <c r="B24" s="1">
        <v>167.97</v>
      </c>
      <c r="C24" s="1">
        <v>1</v>
      </c>
      <c r="D24" s="1">
        <v>250</v>
      </c>
      <c r="E24" s="1">
        <v>40</v>
      </c>
    </row>
    <row r="25" spans="1:5" x14ac:dyDescent="0.2">
      <c r="A25" s="1" t="s">
        <v>331</v>
      </c>
      <c r="B25" s="1">
        <v>167.99</v>
      </c>
      <c r="C25" s="1">
        <v>1</v>
      </c>
      <c r="D25" s="1">
        <v>250</v>
      </c>
      <c r="E25" s="1">
        <v>40</v>
      </c>
    </row>
    <row r="26" spans="1:5" x14ac:dyDescent="0.2">
      <c r="A26" s="1" t="s">
        <v>332</v>
      </c>
      <c r="B26" s="1">
        <v>168.02</v>
      </c>
      <c r="C26" s="1">
        <v>1</v>
      </c>
      <c r="D26" s="1">
        <v>250</v>
      </c>
      <c r="E26" s="1">
        <v>40</v>
      </c>
    </row>
    <row r="27" spans="1:5" x14ac:dyDescent="0.2">
      <c r="A27" s="1" t="s">
        <v>333</v>
      </c>
      <c r="B27" s="1">
        <v>168.05</v>
      </c>
      <c r="C27" s="1">
        <v>1</v>
      </c>
      <c r="D27" s="1">
        <v>250</v>
      </c>
      <c r="E27" s="1">
        <v>40</v>
      </c>
    </row>
    <row r="28" spans="1:5" x14ac:dyDescent="0.2">
      <c r="A28" s="1" t="s">
        <v>334</v>
      </c>
      <c r="B28" s="1">
        <v>168.08</v>
      </c>
      <c r="C28" s="1">
        <v>1</v>
      </c>
      <c r="D28" s="1">
        <v>250</v>
      </c>
      <c r="E28" s="1">
        <v>40</v>
      </c>
    </row>
    <row r="29" spans="1:5" x14ac:dyDescent="0.2">
      <c r="A29" s="1" t="s">
        <v>335</v>
      </c>
      <c r="B29" s="1">
        <v>168.11</v>
      </c>
      <c r="C29" s="1">
        <v>1</v>
      </c>
      <c r="D29" s="1">
        <v>250</v>
      </c>
      <c r="E29" s="1">
        <v>40</v>
      </c>
    </row>
    <row r="30" spans="1:5" x14ac:dyDescent="0.2">
      <c r="A30" s="1" t="s">
        <v>336</v>
      </c>
      <c r="B30" s="1">
        <v>168.23</v>
      </c>
      <c r="C30" s="1">
        <v>1</v>
      </c>
      <c r="D30" s="1">
        <v>250</v>
      </c>
      <c r="E30" s="1">
        <v>40</v>
      </c>
    </row>
    <row r="31" spans="1:5" x14ac:dyDescent="0.2">
      <c r="A31" s="1" t="s">
        <v>337</v>
      </c>
      <c r="B31" s="1">
        <v>168.27</v>
      </c>
      <c r="C31" s="1">
        <v>1</v>
      </c>
      <c r="D31" s="1">
        <v>250</v>
      </c>
      <c r="E31" s="1">
        <v>40</v>
      </c>
    </row>
    <row r="32" spans="1:5" x14ac:dyDescent="0.2">
      <c r="A32" s="1" t="s">
        <v>338</v>
      </c>
      <c r="B32" s="1">
        <v>168.3</v>
      </c>
      <c r="C32" s="1">
        <v>1</v>
      </c>
      <c r="D32" s="1">
        <v>250</v>
      </c>
      <c r="E32" s="1">
        <v>40</v>
      </c>
    </row>
    <row r="33" spans="1:5" x14ac:dyDescent="0.2">
      <c r="A33" s="1" t="s">
        <v>339</v>
      </c>
      <c r="B33" s="1">
        <v>168.34</v>
      </c>
      <c r="C33" s="1">
        <v>1</v>
      </c>
      <c r="D33" s="1">
        <v>250</v>
      </c>
      <c r="E33" s="1">
        <v>40</v>
      </c>
    </row>
    <row r="34" spans="1:5" x14ac:dyDescent="0.2">
      <c r="A34" s="1" t="s">
        <v>340</v>
      </c>
      <c r="B34" s="1">
        <v>168.38</v>
      </c>
      <c r="C34" s="1">
        <v>1</v>
      </c>
      <c r="D34" s="1">
        <v>250</v>
      </c>
      <c r="E34" s="1">
        <v>40</v>
      </c>
    </row>
    <row r="35" spans="1:5" x14ac:dyDescent="0.2">
      <c r="A35" s="1" t="s">
        <v>341</v>
      </c>
      <c r="B35" s="1">
        <v>168.41</v>
      </c>
      <c r="C35" s="1">
        <v>1</v>
      </c>
      <c r="D35" s="1">
        <v>250</v>
      </c>
      <c r="E35" s="1">
        <v>40</v>
      </c>
    </row>
    <row r="36" spans="1:5" x14ac:dyDescent="0.2">
      <c r="A36" s="1" t="s">
        <v>342</v>
      </c>
      <c r="B36" s="1">
        <v>168.45</v>
      </c>
      <c r="C36" s="1">
        <v>1</v>
      </c>
      <c r="D36" s="1">
        <v>250</v>
      </c>
      <c r="E36" s="1">
        <v>40</v>
      </c>
    </row>
    <row r="37" spans="1:5" x14ac:dyDescent="0.2">
      <c r="A37" s="1" t="s">
        <v>343</v>
      </c>
      <c r="B37" s="1">
        <v>168.48</v>
      </c>
      <c r="C37" s="1">
        <v>1</v>
      </c>
      <c r="D37" s="1">
        <v>250</v>
      </c>
      <c r="E37" s="1">
        <v>40</v>
      </c>
    </row>
    <row r="38" spans="1:5" x14ac:dyDescent="0.2">
      <c r="A38" s="1" t="s">
        <v>344</v>
      </c>
      <c r="B38" s="1">
        <v>168.51</v>
      </c>
      <c r="C38" s="1">
        <v>1</v>
      </c>
      <c r="D38" s="1">
        <v>250</v>
      </c>
      <c r="E38" s="1">
        <v>40</v>
      </c>
    </row>
    <row r="39" spans="1:5" x14ac:dyDescent="0.2">
      <c r="A39" s="1" t="s">
        <v>345</v>
      </c>
      <c r="B39" s="1">
        <v>168.55</v>
      </c>
      <c r="C39" s="1">
        <v>1</v>
      </c>
      <c r="D39" s="1">
        <v>500</v>
      </c>
      <c r="E39" s="1">
        <v>40</v>
      </c>
    </row>
    <row r="40" spans="1:5" x14ac:dyDescent="0.2">
      <c r="A40" s="1" t="s">
        <v>346</v>
      </c>
      <c r="B40" s="1">
        <v>168.58</v>
      </c>
      <c r="C40" s="1">
        <v>1</v>
      </c>
      <c r="D40" s="1">
        <v>500</v>
      </c>
      <c r="E40" s="1">
        <v>40</v>
      </c>
    </row>
    <row r="41" spans="1:5" x14ac:dyDescent="0.2">
      <c r="A41" s="1" t="s">
        <v>347</v>
      </c>
      <c r="B41" s="1">
        <v>168.61</v>
      </c>
      <c r="C41" s="1">
        <v>1</v>
      </c>
      <c r="D41" s="1">
        <v>500</v>
      </c>
      <c r="E41" s="1">
        <v>40</v>
      </c>
    </row>
    <row r="42" spans="1:5" x14ac:dyDescent="0.2">
      <c r="A42" s="1" t="s">
        <v>348</v>
      </c>
      <c r="B42" s="1">
        <v>168.65</v>
      </c>
      <c r="C42" s="1">
        <v>1</v>
      </c>
      <c r="D42" s="1">
        <v>500</v>
      </c>
      <c r="E42" s="1">
        <v>40</v>
      </c>
    </row>
    <row r="43" spans="1:5" x14ac:dyDescent="0.2">
      <c r="A43" s="1" t="s">
        <v>349</v>
      </c>
      <c r="B43" s="1">
        <v>168.68</v>
      </c>
      <c r="C43" s="1">
        <v>1</v>
      </c>
      <c r="D43" s="1">
        <v>500</v>
      </c>
      <c r="E43" s="1">
        <v>40</v>
      </c>
    </row>
    <row r="44" spans="1:5" x14ac:dyDescent="0.2">
      <c r="A44" s="1" t="s">
        <v>350</v>
      </c>
      <c r="B44" s="1">
        <v>168.71</v>
      </c>
      <c r="C44" s="1">
        <v>1</v>
      </c>
      <c r="D44" s="1">
        <v>500</v>
      </c>
      <c r="E44" s="1">
        <v>40</v>
      </c>
    </row>
    <row r="45" spans="1:5" x14ac:dyDescent="0.2">
      <c r="A45" s="1" t="s">
        <v>351</v>
      </c>
      <c r="B45" s="1">
        <v>168.74</v>
      </c>
      <c r="C45" s="1">
        <v>1</v>
      </c>
      <c r="D45" s="1">
        <v>500</v>
      </c>
      <c r="E45" s="1">
        <v>40</v>
      </c>
    </row>
    <row r="46" spans="1:5" x14ac:dyDescent="0.2">
      <c r="A46" s="1" t="s">
        <v>352</v>
      </c>
      <c r="B46" s="1">
        <v>168.78</v>
      </c>
      <c r="C46" s="1">
        <v>1</v>
      </c>
      <c r="D46" s="1">
        <v>500</v>
      </c>
      <c r="E46" s="1">
        <v>40</v>
      </c>
    </row>
    <row r="47" spans="1:5" x14ac:dyDescent="0.2">
      <c r="A47" s="1" t="s">
        <v>353</v>
      </c>
      <c r="B47" s="1">
        <v>168.8</v>
      </c>
      <c r="C47" s="1">
        <v>1</v>
      </c>
      <c r="D47" s="1">
        <v>250</v>
      </c>
      <c r="E47" s="1">
        <v>40</v>
      </c>
    </row>
    <row r="48" spans="1:5" x14ac:dyDescent="0.2">
      <c r="A48" s="1" t="s">
        <v>354</v>
      </c>
      <c r="B48" s="1">
        <v>168.83</v>
      </c>
      <c r="C48" s="1">
        <v>1</v>
      </c>
      <c r="D48" s="1">
        <v>250</v>
      </c>
      <c r="E48" s="1">
        <v>40</v>
      </c>
    </row>
    <row r="49" spans="1:5" x14ac:dyDescent="0.2">
      <c r="A49" s="1" t="s">
        <v>355</v>
      </c>
      <c r="B49" s="1">
        <v>168.86</v>
      </c>
      <c r="C49" s="1">
        <v>1</v>
      </c>
      <c r="D49" s="1">
        <v>250</v>
      </c>
      <c r="E49" s="1">
        <v>50</v>
      </c>
    </row>
  </sheetData>
  <pageMargins left="0.7" right="0.7" top="0.75" bottom="0.75" header="0.3" footer="0.3"/>
  <pageSetup paperSize="3" orientation="landscape" r:id="rId1"/>
  <headerFooter>
    <oddHeader>&amp;CSEGMENT 3N: LIGHTING CIRCUIT INFORMATION</oddHeader>
    <oddFooter>&amp;CLIGHTING- JOMP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49"/>
  <sheetViews>
    <sheetView zoomScaleNormal="100" zoomScalePageLayoutView="80" workbookViewId="0">
      <selection activeCell="B2" sqref="B2"/>
    </sheetView>
  </sheetViews>
  <sheetFormatPr defaultColWidth="8.85546875" defaultRowHeight="11.25" x14ac:dyDescent="0.2"/>
  <cols>
    <col min="1" max="1" width="11.140625" style="1" bestFit="1" customWidth="1"/>
    <col min="2" max="2" width="11.7109375" style="1" bestFit="1" customWidth="1"/>
    <col min="3" max="3" width="8.28515625" style="1" bestFit="1" customWidth="1"/>
    <col min="4" max="4" width="18" style="1" bestFit="1" customWidth="1"/>
    <col min="5" max="5" width="16" style="1" bestFit="1" customWidth="1"/>
    <col min="6" max="16384" width="8.85546875" style="1"/>
  </cols>
  <sheetData>
    <row r="1" spans="1:5" x14ac:dyDescent="0.2">
      <c r="A1" s="1" t="s">
        <v>253</v>
      </c>
      <c r="B1" s="1" t="s">
        <v>80</v>
      </c>
      <c r="C1" s="1" t="s">
        <v>405</v>
      </c>
      <c r="D1" s="1" t="s">
        <v>254</v>
      </c>
      <c r="E1" s="1" t="s">
        <v>255</v>
      </c>
    </row>
    <row r="2" spans="1:5" x14ac:dyDescent="0.2">
      <c r="A2" s="1" t="s">
        <v>356</v>
      </c>
      <c r="B2" s="1">
        <v>0.45</v>
      </c>
      <c r="C2" s="1">
        <v>1</v>
      </c>
      <c r="D2" s="1">
        <v>310</v>
      </c>
    </row>
    <row r="3" spans="1:5" x14ac:dyDescent="0.2">
      <c r="A3" s="1" t="s">
        <v>357</v>
      </c>
      <c r="B3" s="1">
        <v>0.52</v>
      </c>
      <c r="C3" s="1">
        <v>1</v>
      </c>
      <c r="D3" s="1">
        <v>250</v>
      </c>
      <c r="E3" s="1">
        <v>45</v>
      </c>
    </row>
    <row r="4" spans="1:5" x14ac:dyDescent="0.2">
      <c r="A4" s="1" t="s">
        <v>358</v>
      </c>
      <c r="B4" s="1">
        <v>0.55000000000000004</v>
      </c>
      <c r="C4" s="1">
        <v>1</v>
      </c>
      <c r="D4" s="1">
        <v>250</v>
      </c>
      <c r="E4" s="1">
        <v>45</v>
      </c>
    </row>
    <row r="5" spans="1:5" x14ac:dyDescent="0.2">
      <c r="A5" s="1" t="s">
        <v>359</v>
      </c>
      <c r="B5" s="1">
        <v>0.57999999999999996</v>
      </c>
      <c r="C5" s="1">
        <v>1</v>
      </c>
      <c r="D5" s="1">
        <v>250</v>
      </c>
      <c r="E5" s="1">
        <v>45</v>
      </c>
    </row>
    <row r="6" spans="1:5" x14ac:dyDescent="0.2">
      <c r="A6" s="1" t="s">
        <v>360</v>
      </c>
      <c r="B6" s="1">
        <v>0.61</v>
      </c>
      <c r="C6" s="1">
        <v>1</v>
      </c>
      <c r="D6" s="1">
        <v>250</v>
      </c>
      <c r="E6" s="1">
        <v>45</v>
      </c>
    </row>
    <row r="7" spans="1:5" x14ac:dyDescent="0.2">
      <c r="A7" s="1" t="s">
        <v>361</v>
      </c>
      <c r="B7" s="1">
        <v>0.64</v>
      </c>
      <c r="C7" s="1">
        <v>1</v>
      </c>
      <c r="D7" s="1">
        <v>250</v>
      </c>
      <c r="E7" s="1">
        <v>45</v>
      </c>
    </row>
    <row r="8" spans="1:5" x14ac:dyDescent="0.2">
      <c r="A8" s="1" t="s">
        <v>362</v>
      </c>
      <c r="B8" s="1">
        <v>0.66</v>
      </c>
      <c r="C8" s="1">
        <v>1</v>
      </c>
      <c r="D8" s="1">
        <v>250</v>
      </c>
      <c r="E8" s="1">
        <v>45</v>
      </c>
    </row>
    <row r="9" spans="1:5" x14ac:dyDescent="0.2">
      <c r="A9" s="1" t="s">
        <v>363</v>
      </c>
      <c r="B9" s="1">
        <v>0.69</v>
      </c>
      <c r="C9" s="1">
        <v>1</v>
      </c>
      <c r="D9" s="1">
        <v>250</v>
      </c>
      <c r="E9" s="1">
        <v>45</v>
      </c>
    </row>
    <row r="10" spans="1:5" x14ac:dyDescent="0.2">
      <c r="A10" s="1" t="s">
        <v>364</v>
      </c>
      <c r="B10" s="1">
        <v>0.72</v>
      </c>
      <c r="C10" s="1">
        <v>1</v>
      </c>
      <c r="D10" s="1">
        <v>250</v>
      </c>
      <c r="E10" s="1">
        <v>45</v>
      </c>
    </row>
    <row r="11" spans="1:5" x14ac:dyDescent="0.2">
      <c r="A11" s="1" t="s">
        <v>365</v>
      </c>
      <c r="B11" s="1">
        <v>0.75</v>
      </c>
      <c r="C11" s="1">
        <v>1</v>
      </c>
      <c r="D11" s="1">
        <v>250</v>
      </c>
      <c r="E11" s="1">
        <v>45</v>
      </c>
    </row>
    <row r="12" spans="1:5" x14ac:dyDescent="0.2">
      <c r="A12" s="1" t="s">
        <v>366</v>
      </c>
      <c r="B12" s="1">
        <v>0.77</v>
      </c>
      <c r="C12" s="1">
        <v>1</v>
      </c>
      <c r="D12" s="1">
        <v>250</v>
      </c>
      <c r="E12" s="1">
        <v>45</v>
      </c>
    </row>
    <row r="13" spans="1:5" x14ac:dyDescent="0.2">
      <c r="A13" s="1" t="s">
        <v>367</v>
      </c>
      <c r="B13" s="1">
        <v>0.8</v>
      </c>
      <c r="C13" s="1">
        <v>1</v>
      </c>
      <c r="D13" s="1">
        <v>250</v>
      </c>
      <c r="E13" s="1">
        <v>45</v>
      </c>
    </row>
    <row r="14" spans="1:5" x14ac:dyDescent="0.2">
      <c r="A14" s="1" t="s">
        <v>368</v>
      </c>
      <c r="B14" s="1">
        <v>0.83</v>
      </c>
      <c r="C14" s="1">
        <v>1</v>
      </c>
      <c r="D14" s="1">
        <v>250</v>
      </c>
      <c r="E14" s="1">
        <v>45</v>
      </c>
    </row>
    <row r="15" spans="1:5" x14ac:dyDescent="0.2">
      <c r="A15" s="1" t="s">
        <v>369</v>
      </c>
      <c r="B15" s="1">
        <v>0.86</v>
      </c>
      <c r="C15" s="1">
        <v>1</v>
      </c>
      <c r="D15" s="1">
        <v>250</v>
      </c>
      <c r="E15" s="1">
        <v>45</v>
      </c>
    </row>
    <row r="16" spans="1:5" x14ac:dyDescent="0.2">
      <c r="A16" s="1" t="s">
        <v>370</v>
      </c>
      <c r="B16" s="1">
        <v>0.89</v>
      </c>
      <c r="C16" s="1">
        <v>1</v>
      </c>
      <c r="D16" s="1">
        <v>250</v>
      </c>
      <c r="E16" s="1">
        <v>45</v>
      </c>
    </row>
    <row r="17" spans="1:5" x14ac:dyDescent="0.2">
      <c r="A17" s="1" t="s">
        <v>371</v>
      </c>
      <c r="B17" s="1">
        <v>0.92</v>
      </c>
      <c r="C17" s="1">
        <v>1</v>
      </c>
      <c r="D17" s="1">
        <v>250</v>
      </c>
      <c r="E17" s="1">
        <v>45</v>
      </c>
    </row>
    <row r="18" spans="1:5" x14ac:dyDescent="0.2">
      <c r="A18" s="1" t="s">
        <v>372</v>
      </c>
      <c r="B18" s="1">
        <v>0.95</v>
      </c>
      <c r="C18" s="1">
        <v>1</v>
      </c>
      <c r="D18" s="1">
        <v>250</v>
      </c>
      <c r="E18" s="1">
        <v>45</v>
      </c>
    </row>
    <row r="19" spans="1:5" x14ac:dyDescent="0.2">
      <c r="A19" s="1" t="s">
        <v>373</v>
      </c>
      <c r="B19" s="1">
        <v>0.97</v>
      </c>
      <c r="C19" s="1">
        <v>1</v>
      </c>
      <c r="D19" s="1">
        <v>250</v>
      </c>
      <c r="E19" s="1">
        <v>45</v>
      </c>
    </row>
    <row r="20" spans="1:5" x14ac:dyDescent="0.2">
      <c r="A20" s="1" t="s">
        <v>374</v>
      </c>
      <c r="B20" s="1">
        <v>1</v>
      </c>
      <c r="C20" s="1">
        <v>1</v>
      </c>
      <c r="D20" s="1">
        <v>250</v>
      </c>
      <c r="E20" s="1">
        <v>45</v>
      </c>
    </row>
    <row r="21" spans="1:5" x14ac:dyDescent="0.2">
      <c r="A21" s="1" t="s">
        <v>375</v>
      </c>
      <c r="B21" s="1">
        <v>1.02</v>
      </c>
      <c r="C21" s="1">
        <v>1</v>
      </c>
      <c r="D21" s="1">
        <v>250</v>
      </c>
      <c r="E21" s="1">
        <v>45</v>
      </c>
    </row>
    <row r="22" spans="1:5" x14ac:dyDescent="0.2">
      <c r="A22" s="1" t="s">
        <v>376</v>
      </c>
      <c r="B22" s="1">
        <v>1.05</v>
      </c>
      <c r="C22" s="1">
        <v>1</v>
      </c>
      <c r="D22" s="1">
        <v>250</v>
      </c>
      <c r="E22" s="1">
        <v>45</v>
      </c>
    </row>
    <row r="23" spans="1:5" x14ac:dyDescent="0.2">
      <c r="A23" s="1" t="s">
        <v>377</v>
      </c>
      <c r="B23" s="1">
        <v>1.07</v>
      </c>
      <c r="C23" s="1">
        <v>1</v>
      </c>
      <c r="D23" s="1">
        <v>250</v>
      </c>
      <c r="E23" s="1">
        <v>45</v>
      </c>
    </row>
    <row r="24" spans="1:5" x14ac:dyDescent="0.2">
      <c r="A24" s="1" t="s">
        <v>378</v>
      </c>
      <c r="B24" s="1">
        <v>1.1000000000000001</v>
      </c>
      <c r="C24" s="1">
        <v>1</v>
      </c>
      <c r="D24" s="1">
        <v>250</v>
      </c>
      <c r="E24" s="1">
        <v>45</v>
      </c>
    </row>
    <row r="25" spans="1:5" x14ac:dyDescent="0.2">
      <c r="A25" s="1" t="s">
        <v>379</v>
      </c>
      <c r="B25" s="1">
        <v>1.1599999999999999</v>
      </c>
      <c r="C25" s="1">
        <v>1</v>
      </c>
      <c r="D25" s="1">
        <v>250</v>
      </c>
      <c r="E25" s="1">
        <v>45</v>
      </c>
    </row>
    <row r="26" spans="1:5" x14ac:dyDescent="0.2">
      <c r="A26" s="1" t="s">
        <v>380</v>
      </c>
      <c r="B26" s="1">
        <v>1.19</v>
      </c>
      <c r="C26" s="1">
        <v>1</v>
      </c>
      <c r="D26" s="1">
        <v>250</v>
      </c>
      <c r="E26" s="1">
        <v>45</v>
      </c>
    </row>
    <row r="27" spans="1:5" x14ac:dyDescent="0.2">
      <c r="A27" s="1" t="s">
        <v>381</v>
      </c>
      <c r="B27" s="1">
        <v>1.21</v>
      </c>
      <c r="C27" s="1">
        <v>1</v>
      </c>
      <c r="D27" s="1">
        <v>250</v>
      </c>
      <c r="E27" s="1">
        <v>45</v>
      </c>
    </row>
    <row r="28" spans="1:5" x14ac:dyDescent="0.2">
      <c r="A28" s="1" t="s">
        <v>382</v>
      </c>
      <c r="B28" s="1">
        <v>1.24</v>
      </c>
      <c r="C28" s="1">
        <v>1</v>
      </c>
      <c r="D28" s="1">
        <v>250</v>
      </c>
      <c r="E28" s="1">
        <v>45</v>
      </c>
    </row>
    <row r="29" spans="1:5" x14ac:dyDescent="0.2">
      <c r="A29" s="1" t="s">
        <v>383</v>
      </c>
      <c r="B29" s="1">
        <v>1.27</v>
      </c>
      <c r="C29" s="1">
        <v>1</v>
      </c>
      <c r="D29" s="1">
        <v>250</v>
      </c>
      <c r="E29" s="1">
        <v>45</v>
      </c>
    </row>
    <row r="30" spans="1:5" x14ac:dyDescent="0.2">
      <c r="A30" s="1" t="s">
        <v>384</v>
      </c>
      <c r="B30" s="1">
        <v>1.3</v>
      </c>
      <c r="C30" s="1">
        <v>1</v>
      </c>
      <c r="D30" s="1">
        <v>250</v>
      </c>
      <c r="E30" s="1">
        <v>45</v>
      </c>
    </row>
    <row r="31" spans="1:5" x14ac:dyDescent="0.2">
      <c r="A31" s="1" t="s">
        <v>385</v>
      </c>
      <c r="B31" s="1">
        <v>1.33</v>
      </c>
      <c r="C31" s="1">
        <v>1</v>
      </c>
      <c r="D31" s="1">
        <v>250</v>
      </c>
      <c r="E31" s="1">
        <v>45</v>
      </c>
    </row>
    <row r="32" spans="1:5" x14ac:dyDescent="0.2">
      <c r="A32" s="1" t="s">
        <v>386</v>
      </c>
      <c r="B32" s="1">
        <v>1.35</v>
      </c>
      <c r="C32" s="1">
        <v>1</v>
      </c>
      <c r="D32" s="1">
        <v>250</v>
      </c>
      <c r="E32" s="1">
        <v>45</v>
      </c>
    </row>
    <row r="33" spans="1:5" x14ac:dyDescent="0.2">
      <c r="A33" s="1" t="s">
        <v>387</v>
      </c>
      <c r="B33" s="1">
        <v>1.38</v>
      </c>
      <c r="C33" s="1">
        <v>1</v>
      </c>
      <c r="D33" s="1">
        <v>250</v>
      </c>
      <c r="E33" s="1">
        <v>45</v>
      </c>
    </row>
    <row r="34" spans="1:5" x14ac:dyDescent="0.2">
      <c r="A34" s="1" t="s">
        <v>388</v>
      </c>
      <c r="B34" s="1">
        <v>1.4</v>
      </c>
      <c r="C34" s="1">
        <v>1</v>
      </c>
      <c r="D34" s="1">
        <v>250</v>
      </c>
      <c r="E34" s="1">
        <v>45</v>
      </c>
    </row>
    <row r="35" spans="1:5" x14ac:dyDescent="0.2">
      <c r="A35" s="1" t="s">
        <v>389</v>
      </c>
      <c r="B35" s="1">
        <v>1.43</v>
      </c>
      <c r="C35" s="1">
        <v>1</v>
      </c>
      <c r="D35" s="1">
        <v>250</v>
      </c>
      <c r="E35" s="1">
        <v>45</v>
      </c>
    </row>
    <row r="36" spans="1:5" x14ac:dyDescent="0.2">
      <c r="A36" s="1" t="s">
        <v>390</v>
      </c>
      <c r="B36" s="1">
        <v>1.46</v>
      </c>
      <c r="C36" s="1">
        <v>1</v>
      </c>
      <c r="D36" s="1">
        <v>250</v>
      </c>
      <c r="E36" s="1">
        <v>45</v>
      </c>
    </row>
    <row r="37" spans="1:5" x14ac:dyDescent="0.2">
      <c r="A37" s="1" t="s">
        <v>391</v>
      </c>
      <c r="B37" s="1">
        <v>1.49</v>
      </c>
      <c r="C37" s="1">
        <v>1</v>
      </c>
      <c r="D37" s="1">
        <v>250</v>
      </c>
      <c r="E37" s="1">
        <v>45</v>
      </c>
    </row>
    <row r="38" spans="1:5" x14ac:dyDescent="0.2">
      <c r="A38" s="1" t="s">
        <v>392</v>
      </c>
      <c r="B38" s="1">
        <v>1.51</v>
      </c>
      <c r="C38" s="1">
        <v>1</v>
      </c>
      <c r="D38" s="1">
        <v>250</v>
      </c>
      <c r="E38" s="1">
        <v>45</v>
      </c>
    </row>
    <row r="39" spans="1:5" x14ac:dyDescent="0.2">
      <c r="A39" s="1" t="s">
        <v>393</v>
      </c>
      <c r="B39" s="1">
        <v>1.54</v>
      </c>
      <c r="C39" s="1">
        <v>1</v>
      </c>
      <c r="D39" s="1">
        <v>250</v>
      </c>
      <c r="E39" s="1">
        <v>45</v>
      </c>
    </row>
    <row r="40" spans="1:5" x14ac:dyDescent="0.2">
      <c r="A40" s="1" t="s">
        <v>394</v>
      </c>
      <c r="B40" s="1">
        <v>1.57</v>
      </c>
      <c r="C40" s="1">
        <v>1</v>
      </c>
      <c r="D40" s="1">
        <v>250</v>
      </c>
      <c r="E40" s="1">
        <v>45</v>
      </c>
    </row>
    <row r="41" spans="1:5" x14ac:dyDescent="0.2">
      <c r="A41" s="1" t="s">
        <v>395</v>
      </c>
      <c r="B41" s="1">
        <v>1.6</v>
      </c>
      <c r="C41" s="1">
        <v>1</v>
      </c>
      <c r="D41" s="1">
        <v>250</v>
      </c>
      <c r="E41" s="1">
        <v>45</v>
      </c>
    </row>
    <row r="42" spans="1:5" x14ac:dyDescent="0.2">
      <c r="A42" s="1" t="s">
        <v>396</v>
      </c>
      <c r="B42" s="1">
        <v>1.63</v>
      </c>
      <c r="C42" s="1">
        <v>1</v>
      </c>
      <c r="D42" s="1">
        <v>250</v>
      </c>
      <c r="E42" s="1">
        <v>45</v>
      </c>
    </row>
    <row r="43" spans="1:5" x14ac:dyDescent="0.2">
      <c r="A43" s="1" t="s">
        <v>397</v>
      </c>
      <c r="B43" s="1">
        <v>1.66</v>
      </c>
      <c r="C43" s="1">
        <v>1</v>
      </c>
      <c r="D43" s="1">
        <v>250</v>
      </c>
      <c r="E43" s="1">
        <v>45</v>
      </c>
    </row>
    <row r="44" spans="1:5" x14ac:dyDescent="0.2">
      <c r="A44" s="1" t="s">
        <v>398</v>
      </c>
      <c r="B44" s="1">
        <v>1.69</v>
      </c>
      <c r="C44" s="1">
        <v>1</v>
      </c>
      <c r="D44" s="1">
        <v>250</v>
      </c>
      <c r="E44" s="1">
        <v>45</v>
      </c>
    </row>
    <row r="45" spans="1:5" x14ac:dyDescent="0.2">
      <c r="A45" s="1" t="s">
        <v>399</v>
      </c>
      <c r="B45" s="1">
        <v>1.75</v>
      </c>
      <c r="C45" s="1">
        <v>1</v>
      </c>
      <c r="D45" s="1">
        <v>250</v>
      </c>
      <c r="E45" s="1">
        <v>45</v>
      </c>
    </row>
    <row r="46" spans="1:5" x14ac:dyDescent="0.2">
      <c r="A46" s="1" t="s">
        <v>400</v>
      </c>
      <c r="B46" s="1">
        <v>2</v>
      </c>
      <c r="C46" s="1">
        <v>1</v>
      </c>
      <c r="D46" s="1">
        <v>310</v>
      </c>
    </row>
    <row r="47" spans="1:5" x14ac:dyDescent="0.2">
      <c r="A47" s="1" t="s">
        <v>401</v>
      </c>
      <c r="B47" s="1">
        <v>2.04</v>
      </c>
      <c r="C47" s="1">
        <v>1</v>
      </c>
      <c r="D47" s="1">
        <v>310</v>
      </c>
    </row>
    <row r="48" spans="1:5" x14ac:dyDescent="0.2">
      <c r="A48" s="1" t="s">
        <v>402</v>
      </c>
      <c r="B48" s="1">
        <v>2.06</v>
      </c>
      <c r="C48" s="1">
        <v>1</v>
      </c>
      <c r="D48" s="1">
        <v>310</v>
      </c>
    </row>
    <row r="49" spans="1:4" x14ac:dyDescent="0.2">
      <c r="A49" s="1" t="s">
        <v>403</v>
      </c>
      <c r="B49" s="1">
        <v>2.1</v>
      </c>
      <c r="C49" s="1">
        <v>1</v>
      </c>
      <c r="D49" s="1">
        <v>310</v>
      </c>
    </row>
  </sheetData>
  <pageMargins left="0.7" right="0.7" top="0.75" bottom="0.75" header="0.3" footer="0.3"/>
  <pageSetup paperSize="3" scale="99" fitToHeight="0" orientation="landscape" r:id="rId1"/>
  <headerFooter>
    <oddHeader>&amp;CSEGMENT 4: LIGHTING CIRCUIT INFORMATION</oddHeader>
    <oddFooter>&amp;CLIGHTING- JOMP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Signs</vt:lpstr>
      <vt:lpstr>Bridges</vt:lpstr>
      <vt:lpstr>MM-1</vt:lpstr>
      <vt:lpstr>MM-2S</vt:lpstr>
      <vt:lpstr>MM-2N</vt:lpstr>
      <vt:lpstr>MM-3S</vt:lpstr>
      <vt:lpstr>MM-3N</vt:lpstr>
      <vt:lpstr>MM-4</vt:lpstr>
      <vt:lpstr>Static</vt:lpstr>
      <vt:lpstr>SEG01</vt:lpstr>
      <vt:lpstr>SEG02S</vt:lpstr>
      <vt:lpstr>SEG02N</vt:lpstr>
      <vt:lpstr>SEG03S</vt:lpstr>
      <vt:lpstr>SEG03N</vt:lpstr>
      <vt:lpstr>SEG04</vt:lpstr>
    </vt:vector>
  </TitlesOfParts>
  <Company>Transurban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Prezioso Jr, Richard</dc:creator>
  <cp:lastModifiedBy>Peter Holliday</cp:lastModifiedBy>
  <dcterms:created xsi:type="dcterms:W3CDTF">2014-10-13T12:35:43Z</dcterms:created>
  <dcterms:modified xsi:type="dcterms:W3CDTF">2014-12-10T07:25:17Z</dcterms:modified>
</cp:coreProperties>
</file>